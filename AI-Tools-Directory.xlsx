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Tools" sheetId="2" state="visible" r:id="rId2"/>
    <sheet name="Top Pi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color rgb="00FFFFFF"/>
      <sz val="13"/>
    </font>
    <font>
      <color rgb="002563EB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F46E5"/>
      </patternFill>
    </fill>
    <fill>
      <patternFill patternType="solid">
        <fgColor rgb="00E7F6E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aude.ai" TargetMode="External" Id="rId1" /><Relationship Type="http://schemas.openxmlformats.org/officeDocument/2006/relationships/hyperlink" Target="https://chatgpt.com" TargetMode="External" Id="rId2" /><Relationship Type="http://schemas.openxmlformats.org/officeDocument/2006/relationships/hyperlink" Target="https://gemini.google.com" TargetMode="External" Id="rId3" /><Relationship Type="http://schemas.openxmlformats.org/officeDocument/2006/relationships/hyperlink" Target="https://copilot.microsoft.com" TargetMode="External" Id="rId4" /><Relationship Type="http://schemas.openxmlformats.org/officeDocument/2006/relationships/hyperlink" Target="https://perplexity.ai" TargetMode="External" Id="rId5" /><Relationship Type="http://schemas.openxmlformats.org/officeDocument/2006/relationships/hyperlink" Target="https://grok.com" TargetMode="External" Id="rId6" /><Relationship Type="http://schemas.openxmlformats.org/officeDocument/2006/relationships/hyperlink" Target="https://deepseek.com" TargetMode="External" Id="rId7" /><Relationship Type="http://schemas.openxmlformats.org/officeDocument/2006/relationships/hyperlink" Target="https://meta.ai" TargetMode="External" Id="rId8" /><Relationship Type="http://schemas.openxmlformats.org/officeDocument/2006/relationships/hyperlink" Target="https://github.com/open-webui/open-webui" TargetMode="External" Id="rId9" /><Relationship Type="http://schemas.openxmlformats.org/officeDocument/2006/relationships/hyperlink" Target="https://github.com/danny-avila/LibreChat" TargetMode="External" Id="rId10" /><Relationship Type="http://schemas.openxmlformats.org/officeDocument/2006/relationships/hyperlink" Target="https://jan.ai" TargetMode="External" Id="rId11" /><Relationship Type="http://schemas.openxmlformats.org/officeDocument/2006/relationships/hyperlink" Target="https://ollama.com" TargetMode="External" Id="rId12" /><Relationship Type="http://schemas.openxmlformats.org/officeDocument/2006/relationships/hyperlink" Target="https://claude.com/claude-code" TargetMode="External" Id="rId13" /><Relationship Type="http://schemas.openxmlformats.org/officeDocument/2006/relationships/hyperlink" Target="https://cursor.com" TargetMode="External" Id="rId14" /><Relationship Type="http://schemas.openxmlformats.org/officeDocument/2006/relationships/hyperlink" Target="https://github.com/features/copilot" TargetMode="External" Id="rId15" /><Relationship Type="http://schemas.openxmlformats.org/officeDocument/2006/relationships/hyperlink" Target="https://windsurf.com" TargetMode="External" Id="rId16" /><Relationship Type="http://schemas.openxmlformats.org/officeDocument/2006/relationships/hyperlink" Target="https://replit.com" TargetMode="External" Id="rId17" /><Relationship Type="http://schemas.openxmlformats.org/officeDocument/2006/relationships/hyperlink" Target="https://lovable.dev" TargetMode="External" Id="rId18" /><Relationship Type="http://schemas.openxmlformats.org/officeDocument/2006/relationships/hyperlink" Target="https://bolt.new" TargetMode="External" Id="rId19" /><Relationship Type="http://schemas.openxmlformats.org/officeDocument/2006/relationships/hyperlink" Target="https://v0.dev" TargetMode="External" Id="rId20" /><Relationship Type="http://schemas.openxmlformats.org/officeDocument/2006/relationships/hyperlink" Target="https://tabnine.com" TargetMode="External" Id="rId21" /><Relationship Type="http://schemas.openxmlformats.org/officeDocument/2006/relationships/hyperlink" Target="https://qodo.ai" TargetMode="External" Id="rId22" /><Relationship Type="http://schemas.openxmlformats.org/officeDocument/2006/relationships/hyperlink" Target="https://askcodi.com" TargetMode="External" Id="rId23" /><Relationship Type="http://schemas.openxmlformats.org/officeDocument/2006/relationships/hyperlink" Target="https://codiga.io" TargetMode="External" Id="rId24" /><Relationship Type="http://schemas.openxmlformats.org/officeDocument/2006/relationships/hyperlink" Target="https://github.com/Aider-AI/aider" TargetMode="External" Id="rId25" /><Relationship Type="http://schemas.openxmlformats.org/officeDocument/2006/relationships/hyperlink" Target="https://github.com/cline/cline" TargetMode="External" Id="rId26" /><Relationship Type="http://schemas.openxmlformats.org/officeDocument/2006/relationships/hyperlink" Target="https://github.com/RooCodeInc/Roo-Code" TargetMode="External" Id="rId27" /><Relationship Type="http://schemas.openxmlformats.org/officeDocument/2006/relationships/hyperlink" Target="https://github.com/continuedev/continue" TargetMode="External" Id="rId28" /><Relationship Type="http://schemas.openxmlformats.org/officeDocument/2006/relationships/hyperlink" Target="https://github.com/All-Hands-AI/OpenHands" TargetMode="External" Id="rId29" /><Relationship Type="http://schemas.openxmlformats.org/officeDocument/2006/relationships/hyperlink" Target="https://github.com/TabbyML/tabby" TargetMode="External" Id="rId30" /><Relationship Type="http://schemas.openxmlformats.org/officeDocument/2006/relationships/hyperlink" Target="https://grammarly.com" TargetMode="External" Id="rId31" /><Relationship Type="http://schemas.openxmlformats.org/officeDocument/2006/relationships/hyperlink" Target="https://quillbot.com" TargetMode="External" Id="rId32" /><Relationship Type="http://schemas.openxmlformats.org/officeDocument/2006/relationships/hyperlink" Target="https://jasper.ai" TargetMode="External" Id="rId33" /><Relationship Type="http://schemas.openxmlformats.org/officeDocument/2006/relationships/hyperlink" Target="https://copy.ai" TargetMode="External" Id="rId34" /><Relationship Type="http://schemas.openxmlformats.org/officeDocument/2006/relationships/hyperlink" Target="https://writesonic.com" TargetMode="External" Id="rId35" /><Relationship Type="http://schemas.openxmlformats.org/officeDocument/2006/relationships/hyperlink" Target="https://rytr.me" TargetMode="External" Id="rId36" /><Relationship Type="http://schemas.openxmlformats.org/officeDocument/2006/relationships/hyperlink" Target="https://sudowrite.com" TargetMode="External" Id="rId37" /><Relationship Type="http://schemas.openxmlformats.org/officeDocument/2006/relationships/hyperlink" Target="https://myjotbot.com" TargetMode="External" Id="rId38" /><Relationship Type="http://schemas.openxmlformats.org/officeDocument/2006/relationships/hyperlink" Target="https://quarkle.ai" TargetMode="External" Id="rId39" /><Relationship Type="http://schemas.openxmlformats.org/officeDocument/2006/relationships/hyperlink" Target="https://github.com/languagetool-org/languagetool" TargetMode="External" Id="rId40" /><Relationship Type="http://schemas.openxmlformats.org/officeDocument/2006/relationships/hyperlink" Target="https://github.com/Automattic/harper" TargetMode="External" Id="rId41" /><Relationship Type="http://schemas.openxmlformats.org/officeDocument/2006/relationships/hyperlink" Target="https://midjourney.com" TargetMode="External" Id="rId42" /><Relationship Type="http://schemas.openxmlformats.org/officeDocument/2006/relationships/hyperlink" Target="https://openai.com/dall-e" TargetMode="External" Id="rId43" /><Relationship Type="http://schemas.openxmlformats.org/officeDocument/2006/relationships/hyperlink" Target="https://adobe.com/products/firefly" TargetMode="External" Id="rId44" /><Relationship Type="http://schemas.openxmlformats.org/officeDocument/2006/relationships/hyperlink" Target="https://bfl.ai" TargetMode="External" Id="rId45" /><Relationship Type="http://schemas.openxmlformats.org/officeDocument/2006/relationships/hyperlink" Target="https://ideogram.ai" TargetMode="External" Id="rId46" /><Relationship Type="http://schemas.openxmlformats.org/officeDocument/2006/relationships/hyperlink" Target="https://recraft.ai" TargetMode="External" Id="rId47" /><Relationship Type="http://schemas.openxmlformats.org/officeDocument/2006/relationships/hyperlink" Target="https://stability.ai" TargetMode="External" Id="rId48" /><Relationship Type="http://schemas.openxmlformats.org/officeDocument/2006/relationships/hyperlink" Target="https://leonardo.ai" TargetMode="External" Id="rId49" /><Relationship Type="http://schemas.openxmlformats.org/officeDocument/2006/relationships/hyperlink" Target="https://github.com/comfyanonymous/ComfyUI" TargetMode="External" Id="rId50" /><Relationship Type="http://schemas.openxmlformats.org/officeDocument/2006/relationships/hyperlink" Target="https://github.com/AUTOMATIC1111/stable-diffusion-webui" TargetMode="External" Id="rId51" /><Relationship Type="http://schemas.openxmlformats.org/officeDocument/2006/relationships/hyperlink" Target="https://github.com/lllyasviel/Fooocus" TargetMode="External" Id="rId52" /><Relationship Type="http://schemas.openxmlformats.org/officeDocument/2006/relationships/hyperlink" Target="https://github.com/invoke-ai/InvokeAI" TargetMode="External" Id="rId53" /><Relationship Type="http://schemas.openxmlformats.org/officeDocument/2006/relationships/hyperlink" Target="https://sora.com" TargetMode="External" Id="rId54" /><Relationship Type="http://schemas.openxmlformats.org/officeDocument/2006/relationships/hyperlink" Target="https://deepmind.google/models/veo" TargetMode="External" Id="rId55" /><Relationship Type="http://schemas.openxmlformats.org/officeDocument/2006/relationships/hyperlink" Target="https://runwayml.com" TargetMode="External" Id="rId56" /><Relationship Type="http://schemas.openxmlformats.org/officeDocument/2006/relationships/hyperlink" Target="https://klingai.com" TargetMode="External" Id="rId57" /><Relationship Type="http://schemas.openxmlformats.org/officeDocument/2006/relationships/hyperlink" Target="https://lumalabs.ai" TargetMode="External" Id="rId58" /><Relationship Type="http://schemas.openxmlformats.org/officeDocument/2006/relationships/hyperlink" Target="https://pika.art" TargetMode="External" Id="rId59" /><Relationship Type="http://schemas.openxmlformats.org/officeDocument/2006/relationships/hyperlink" Target="https://haiper.ai" TargetMode="External" Id="rId60" /><Relationship Type="http://schemas.openxmlformats.org/officeDocument/2006/relationships/hyperlink" Target="https://ltx.studio" TargetMode="External" Id="rId61" /><Relationship Type="http://schemas.openxmlformats.org/officeDocument/2006/relationships/hyperlink" Target="https://krea.ai" TargetMode="External" Id="rId62" /><Relationship Type="http://schemas.openxmlformats.org/officeDocument/2006/relationships/hyperlink" Target="https://descript.com" TargetMode="External" Id="rId63" /><Relationship Type="http://schemas.openxmlformats.org/officeDocument/2006/relationships/hyperlink" Target="https://invideo.io" TargetMode="External" Id="rId64" /><Relationship Type="http://schemas.openxmlformats.org/officeDocument/2006/relationships/hyperlink" Target="https://synthesia.io" TargetMode="External" Id="rId65" /><Relationship Type="http://schemas.openxmlformats.org/officeDocument/2006/relationships/hyperlink" Target="https://heygen.com" TargetMode="External" Id="rId66" /><Relationship Type="http://schemas.openxmlformats.org/officeDocument/2006/relationships/hyperlink" Target="https://opus.pro" TargetMode="External" Id="rId67" /><Relationship Type="http://schemas.openxmlformats.org/officeDocument/2006/relationships/hyperlink" Target="https://github.com/Lightricks/LTX-Video" TargetMode="External" Id="rId68" /><Relationship Type="http://schemas.openxmlformats.org/officeDocument/2006/relationships/hyperlink" Target="https://github.com/Tencent-Hunyuan/HunyuanVideo" TargetMode="External" Id="rId69" /><Relationship Type="http://schemas.openxmlformats.org/officeDocument/2006/relationships/hyperlink" Target="https://github.com/Wan-Video/Wan2.1" TargetMode="External" Id="rId70" /><Relationship Type="http://schemas.openxmlformats.org/officeDocument/2006/relationships/hyperlink" Target="https://github.com/hpcaitech/Open-Sora" TargetMode="External" Id="rId71" /><Relationship Type="http://schemas.openxmlformats.org/officeDocument/2006/relationships/hyperlink" Target="https://elevenlabs.io" TargetMode="External" Id="rId72" /><Relationship Type="http://schemas.openxmlformats.org/officeDocument/2006/relationships/hyperlink" Target="https://murf.ai" TargetMode="External" Id="rId73" /><Relationship Type="http://schemas.openxmlformats.org/officeDocument/2006/relationships/hyperlink" Target="https://suno.com" TargetMode="External" Id="rId74" /><Relationship Type="http://schemas.openxmlformats.org/officeDocument/2006/relationships/hyperlink" Target="https://udio.com" TargetMode="External" Id="rId75" /><Relationship Type="http://schemas.openxmlformats.org/officeDocument/2006/relationships/hyperlink" Target="https://podcast.adobe.com" TargetMode="External" Id="rId76" /><Relationship Type="http://schemas.openxmlformats.org/officeDocument/2006/relationships/hyperlink" Target="https://github.com/openai/whisper" TargetMode="External" Id="rId77" /><Relationship Type="http://schemas.openxmlformats.org/officeDocument/2006/relationships/hyperlink" Target="https://github.com/coqui-ai/TTS" TargetMode="External" Id="rId78" /><Relationship Type="http://schemas.openxmlformats.org/officeDocument/2006/relationships/hyperlink" Target="https://github.com/rhasspy/piper" TargetMode="External" Id="rId79" /><Relationship Type="http://schemas.openxmlformats.org/officeDocument/2006/relationships/hyperlink" Target="https://github.com/hexgrad/kokoro" TargetMode="External" Id="rId80" /><Relationship Type="http://schemas.openxmlformats.org/officeDocument/2006/relationships/hyperlink" Target="https://gamma.app" TargetMode="External" Id="rId81" /><Relationship Type="http://schemas.openxmlformats.org/officeDocument/2006/relationships/hyperlink" Target="https://beautiful.ai" TargetMode="External" Id="rId82" /><Relationship Type="http://schemas.openxmlformats.org/officeDocument/2006/relationships/hyperlink" Target="https://pitch.com" TargetMode="External" Id="rId83" /><Relationship Type="http://schemas.openxmlformats.org/officeDocument/2006/relationships/hyperlink" Target="https://plusai.com" TargetMode="External" Id="rId84" /><Relationship Type="http://schemas.openxmlformats.org/officeDocument/2006/relationships/hyperlink" Target="https://tome.app" TargetMode="External" Id="rId85" /><Relationship Type="http://schemas.openxmlformats.org/officeDocument/2006/relationships/hyperlink" Target="https://popai.pro" TargetMode="External" Id="rId86" /><Relationship Type="http://schemas.openxmlformats.org/officeDocument/2006/relationships/hyperlink" Target="https://presentations.ai" TargetMode="External" Id="rId87" /><Relationship Type="http://schemas.openxmlformats.org/officeDocument/2006/relationships/hyperlink" Target="https://slidesgo.com" TargetMode="External" Id="rId88" /><Relationship Type="http://schemas.openxmlformats.org/officeDocument/2006/relationships/hyperlink" Target="https://github.com/slidevjs/slidev" TargetMode="External" Id="rId89" /><Relationship Type="http://schemas.openxmlformats.org/officeDocument/2006/relationships/hyperlink" Target="https://github.com/marp-team/marp" TargetMode="External" Id="rId90" /><Relationship Type="http://schemas.openxmlformats.org/officeDocument/2006/relationships/hyperlink" Target="https://github.com/hakimel/reveal.js" TargetMode="External" Id="rId91" /><Relationship Type="http://schemas.openxmlformats.org/officeDocument/2006/relationships/hyperlink" Target="https://github.com/presenton/presenton" TargetMode="External" Id="rId92" /><Relationship Type="http://schemas.openxmlformats.org/officeDocument/2006/relationships/hyperlink" Target="https://canva.com" TargetMode="External" Id="rId93" /><Relationship Type="http://schemas.openxmlformats.org/officeDocument/2006/relationships/hyperlink" Target="https://figma.com" TargetMode="External" Id="rId94" /><Relationship Type="http://schemas.openxmlformats.org/officeDocument/2006/relationships/hyperlink" Target="https://designer.microsoft.com" TargetMode="External" Id="rId95" /><Relationship Type="http://schemas.openxmlformats.org/officeDocument/2006/relationships/hyperlink" Target="https://framer.com" TargetMode="External" Id="rId96" /><Relationship Type="http://schemas.openxmlformats.org/officeDocument/2006/relationships/hyperlink" Target="https://uizard.io" TargetMode="External" Id="rId97" /><Relationship Type="http://schemas.openxmlformats.org/officeDocument/2006/relationships/hyperlink" Target="https://autodraw.com" TargetMode="External" Id="rId98" /><Relationship Type="http://schemas.openxmlformats.org/officeDocument/2006/relationships/hyperlink" Target="https://design.com" TargetMode="External" Id="rId99" /><Relationship Type="http://schemas.openxmlformats.org/officeDocument/2006/relationships/hyperlink" Target="https://github.com/penpot/penpot" TargetMode="External" Id="rId100" /><Relationship Type="http://schemas.openxmlformats.org/officeDocument/2006/relationships/hyperlink" Target="https://github.com/excalidraw/excalidraw" TargetMode="External" Id="rId101" /><Relationship Type="http://schemas.openxmlformats.org/officeDocument/2006/relationships/hyperlink" Target="https://gimp.org" TargetMode="External" Id="rId102" /><Relationship Type="http://schemas.openxmlformats.org/officeDocument/2006/relationships/hyperlink" Target="https://superhuman.com" TargetMode="External" Id="rId103" /><Relationship Type="http://schemas.openxmlformats.org/officeDocument/2006/relationships/hyperlink" Target="https://shortwave.com" TargetMode="External" Id="rId104" /><Relationship Type="http://schemas.openxmlformats.org/officeDocument/2006/relationships/hyperlink" Target="https://maestrolabs.com" TargetMode="External" Id="rId105" /><Relationship Type="http://schemas.openxmlformats.org/officeDocument/2006/relationships/hyperlink" Target="https://fyxer.com" TargetMode="External" Id="rId106" /><Relationship Type="http://schemas.openxmlformats.org/officeDocument/2006/relationships/hyperlink" Target="https://workspace.google.com" TargetMode="External" Id="rId107" /><Relationship Type="http://schemas.openxmlformats.org/officeDocument/2006/relationships/hyperlink" Target="https://friday-app.com" TargetMode="External" Id="rId108" /><Relationship Type="http://schemas.openxmlformats.org/officeDocument/2006/relationships/hyperlink" Target="https://clippit.ai" TargetMode="External" Id="rId109" /><Relationship Type="http://schemas.openxmlformats.org/officeDocument/2006/relationships/hyperlink" Target="https://github.com/elie222/inbox-zero" TargetMode="External" Id="rId110" /><Relationship Type="http://schemas.openxmlformats.org/officeDocument/2006/relationships/hyperlink" Target="https://github.com/Mail-0/Zero" TargetMode="External" Id="rId111" /><Relationship Type="http://schemas.openxmlformats.org/officeDocument/2006/relationships/hyperlink" Target="https://granola.ai" TargetMode="External" Id="rId112" /><Relationship Type="http://schemas.openxmlformats.org/officeDocument/2006/relationships/hyperlink" Target="https://fathom.video" TargetMode="External" Id="rId113" /><Relationship Type="http://schemas.openxmlformats.org/officeDocument/2006/relationships/hyperlink" Target="https://fireflies.ai" TargetMode="External" Id="rId114" /><Relationship Type="http://schemas.openxmlformats.org/officeDocument/2006/relationships/hyperlink" Target="https://otter.ai" TargetMode="External" Id="rId115" /><Relationship Type="http://schemas.openxmlformats.org/officeDocument/2006/relationships/hyperlink" Target="https://avoma.com" TargetMode="External" Id="rId116" /><Relationship Type="http://schemas.openxmlformats.org/officeDocument/2006/relationships/hyperlink" Target="https://fellow.app" TargetMode="External" Id="rId117" /><Relationship Type="http://schemas.openxmlformats.org/officeDocument/2006/relationships/hyperlink" Target="https://krisp.ai" TargetMode="External" Id="rId118" /><Relationship Type="http://schemas.openxmlformats.org/officeDocument/2006/relationships/hyperlink" Target="https://equaltime.io" TargetMode="External" Id="rId119" /><Relationship Type="http://schemas.openxmlformats.org/officeDocument/2006/relationships/hyperlink" Target="https://littlebird.ai" TargetMode="External" Id="rId120" /><Relationship Type="http://schemas.openxmlformats.org/officeDocument/2006/relationships/hyperlink" Target="https://tldv.io" TargetMode="External" Id="rId121" /><Relationship Type="http://schemas.openxmlformats.org/officeDocument/2006/relationships/hyperlink" Target="https://github.com/m-bain/whisperX" TargetMode="External" Id="rId122" /><Relationship Type="http://schemas.openxmlformats.org/officeDocument/2006/relationships/hyperlink" Target="https://github.com/Zackriya-Solutions/meeting-minutes" TargetMode="External" Id="rId123" /><Relationship Type="http://schemas.openxmlformats.org/officeDocument/2006/relationships/hyperlink" Target="https://github.com/Vexa-ai/vexa" TargetMode="External" Id="rId124" /><Relationship Type="http://schemas.openxmlformats.org/officeDocument/2006/relationships/hyperlink" Target="https://calendly.com" TargetMode="External" Id="rId125" /><Relationship Type="http://schemas.openxmlformats.org/officeDocument/2006/relationships/hyperlink" Target="https://usemotion.com" TargetMode="External" Id="rId126" /><Relationship Type="http://schemas.openxmlformats.org/officeDocument/2006/relationships/hyperlink" Target="https://reclaim.ai" TargetMode="External" Id="rId127" /><Relationship Type="http://schemas.openxmlformats.org/officeDocument/2006/relationships/hyperlink" Target="https://getclockwise.com" TargetMode="External" Id="rId128" /><Relationship Type="http://schemas.openxmlformats.org/officeDocument/2006/relationships/hyperlink" Target="https://trevorai.com" TargetMode="External" Id="rId129" /><Relationship Type="http://schemas.openxmlformats.org/officeDocument/2006/relationships/hyperlink" Target="https://taskade.com" TargetMode="External" Id="rId130" /><Relationship Type="http://schemas.openxmlformats.org/officeDocument/2006/relationships/hyperlink" Target="https://github.com/calcom/cal.com" TargetMode="External" Id="rId131" /><Relationship Type="http://schemas.openxmlformats.org/officeDocument/2006/relationships/hyperlink" Target="https://rows.com" TargetMode="External" Id="rId132" /><Relationship Type="http://schemas.openxmlformats.org/officeDocument/2006/relationships/hyperlink" Target="https://thebricks.com" TargetMode="External" Id="rId133" /><Relationship Type="http://schemas.openxmlformats.org/officeDocument/2006/relationships/hyperlink" Target="https://formulabot.com" TargetMode="External" Id="rId134" /><Relationship Type="http://schemas.openxmlformats.org/officeDocument/2006/relationships/hyperlink" Target="https://gigasheet.com" TargetMode="External" Id="rId135" /><Relationship Type="http://schemas.openxmlformats.org/officeDocument/2006/relationships/hyperlink" Target="https://sheetai.app" TargetMode="External" Id="rId136" /><Relationship Type="http://schemas.openxmlformats.org/officeDocument/2006/relationships/hyperlink" Target="https://microsoft.com/microsoft-365" TargetMode="External" Id="rId137" /><Relationship Type="http://schemas.openxmlformats.org/officeDocument/2006/relationships/hyperlink" Target="https://claude.ai" TargetMode="External" Id="rId138" /><Relationship Type="http://schemas.openxmlformats.org/officeDocument/2006/relationships/hyperlink" Target="https://github.com/quadratichq/quadratic" TargetMode="External" Id="rId139" /><Relationship Type="http://schemas.openxmlformats.org/officeDocument/2006/relationships/hyperlink" Target="https://github.com/dream-num/univer" TargetMode="External" Id="rId140" /><Relationship Type="http://schemas.openxmlformats.org/officeDocument/2006/relationships/hyperlink" Target="https://julius.ai" TargetMode="External" Id="rId141" /><Relationship Type="http://schemas.openxmlformats.org/officeDocument/2006/relationships/hyperlink" Target="https://hex.tech" TargetMode="External" Id="rId142" /><Relationship Type="http://schemas.openxmlformats.org/officeDocument/2006/relationships/hyperlink" Target="https://flourish.studio" TargetMode="External" Id="rId143" /><Relationship Type="http://schemas.openxmlformats.org/officeDocument/2006/relationships/hyperlink" Target="https://visme.co" TargetMode="External" Id="rId144" /><Relationship Type="http://schemas.openxmlformats.org/officeDocument/2006/relationships/hyperlink" Target="https://zingdata.com" TargetMode="External" Id="rId145" /><Relationship Type="http://schemas.openxmlformats.org/officeDocument/2006/relationships/hyperlink" Target="https://deckopilot.com" TargetMode="External" Id="rId146" /><Relationship Type="http://schemas.openxmlformats.org/officeDocument/2006/relationships/hyperlink" Target="https://github.com/metabase/metabase" TargetMode="External" Id="rId147" /><Relationship Type="http://schemas.openxmlformats.org/officeDocument/2006/relationships/hyperlink" Target="https://github.com/apache/superset" TargetMode="External" Id="rId148" /><Relationship Type="http://schemas.openxmlformats.org/officeDocument/2006/relationships/hyperlink" Target="https://github.com/grafana/grafana" TargetMode="External" Id="rId149" /><Relationship Type="http://schemas.openxmlformats.org/officeDocument/2006/relationships/hyperlink" Target="https://github.com/streamlit/streamlit" TargetMode="External" Id="rId150" /><Relationship Type="http://schemas.openxmlformats.org/officeDocument/2006/relationships/hyperlink" Target="https://notion.com" TargetMode="External" Id="rId151" /><Relationship Type="http://schemas.openxmlformats.org/officeDocument/2006/relationships/hyperlink" Target="https://mem.ai" TargetMode="External" Id="rId152" /><Relationship Type="http://schemas.openxmlformats.org/officeDocument/2006/relationships/hyperlink" Target="https://tettra.com" TargetMode="External" Id="rId153" /><Relationship Type="http://schemas.openxmlformats.org/officeDocument/2006/relationships/hyperlink" Target="https://getguru.com" TargetMode="External" Id="rId154" /><Relationship Type="http://schemas.openxmlformats.org/officeDocument/2006/relationships/hyperlink" Target="https://notebooklm.google.com" TargetMode="External" Id="rId155" /><Relationship Type="http://schemas.openxmlformats.org/officeDocument/2006/relationships/hyperlink" Target="https://obsidian.md" TargetMode="External" Id="rId156" /><Relationship Type="http://schemas.openxmlformats.org/officeDocument/2006/relationships/hyperlink" Target="https://github.com/logseq/logseq" TargetMode="External" Id="rId157" /><Relationship Type="http://schemas.openxmlformats.org/officeDocument/2006/relationships/hyperlink" Target="https://github.com/toeverything/AFFiNE" TargetMode="External" Id="rId158" /><Relationship Type="http://schemas.openxmlformats.org/officeDocument/2006/relationships/hyperlink" Target="https://github.com/outline/outline" TargetMode="External" Id="rId159" /><Relationship Type="http://schemas.openxmlformats.org/officeDocument/2006/relationships/hyperlink" Target="https://github.com/khoj-ai/khoj" TargetMode="External" Id="rId160" /><Relationship Type="http://schemas.openxmlformats.org/officeDocument/2006/relationships/hyperlink" Target="https://zapier.com" TargetMode="External" Id="rId161" /><Relationship Type="http://schemas.openxmlformats.org/officeDocument/2006/relationships/hyperlink" Target="https://make.com" TargetMode="External" Id="rId162" /><Relationship Type="http://schemas.openxmlformats.org/officeDocument/2006/relationships/hyperlink" Target="https://n8n.io" TargetMode="External" Id="rId163" /><Relationship Type="http://schemas.openxmlformats.org/officeDocument/2006/relationships/hyperlink" Target="https://monday.com" TargetMode="External" Id="rId164" /><Relationship Type="http://schemas.openxmlformats.org/officeDocument/2006/relationships/hyperlink" Target="https://wrike.com" TargetMode="External" Id="rId165" /><Relationship Type="http://schemas.openxmlformats.org/officeDocument/2006/relationships/hyperlink" Target="https://integrately.com" TargetMode="External" Id="rId166" /><Relationship Type="http://schemas.openxmlformats.org/officeDocument/2006/relationships/hyperlink" Target="https://gumloop.com" TargetMode="External" Id="rId167" /><Relationship Type="http://schemas.openxmlformats.org/officeDocument/2006/relationships/hyperlink" Target="https://relay.app" TargetMode="External" Id="rId168" /><Relationship Type="http://schemas.openxmlformats.org/officeDocument/2006/relationships/hyperlink" Target="https://camunda.com" TargetMode="External" Id="rId169" /><Relationship Type="http://schemas.openxmlformats.org/officeDocument/2006/relationships/hyperlink" Target="https://lindy.ai" TargetMode="External" Id="rId170" /><Relationship Type="http://schemas.openxmlformats.org/officeDocument/2006/relationships/hyperlink" Target="https://github.com/activepieces/activepieces" TargetMode="External" Id="rId171" /><Relationship Type="http://schemas.openxmlformats.org/officeDocument/2006/relationships/hyperlink" Target="https://github.com/windmill-labs/windmill" TargetMode="External" Id="rId172" /><Relationship Type="http://schemas.openxmlformats.org/officeDocument/2006/relationships/hyperlink" Target="https://github.com/automatisch/automatisch" TargetMode="External" Id="rId173" /><Relationship Type="http://schemas.openxmlformats.org/officeDocument/2006/relationships/hyperlink" Target="https://github.com/huginn/huginn" TargetMode="External" Id="rId174" /><Relationship Type="http://schemas.openxmlformats.org/officeDocument/2006/relationships/hyperlink" Target="https://hubspot.com" TargetMode="External" Id="rId175" /><Relationship Type="http://schemas.openxmlformats.org/officeDocument/2006/relationships/hyperlink" Target="https://salesforce.com" TargetMode="External" Id="rId176" /><Relationship Type="http://schemas.openxmlformats.org/officeDocument/2006/relationships/hyperlink" Target="https://apollo.io" TargetMode="External" Id="rId177" /><Relationship Type="http://schemas.openxmlformats.org/officeDocument/2006/relationships/hyperlink" Target="https://clay.com" TargetMode="External" Id="rId178" /><Relationship Type="http://schemas.openxmlformats.org/officeDocument/2006/relationships/hyperlink" Target="https://pipedrive.com" TargetMode="External" Id="rId179" /><Relationship Type="http://schemas.openxmlformats.org/officeDocument/2006/relationships/hyperlink" Target="https://gong.io" TargetMode="External" Id="rId180" /><Relationship Type="http://schemas.openxmlformats.org/officeDocument/2006/relationships/hyperlink" Target="https://clari.com" TargetMode="External" Id="rId181" /><Relationship Type="http://schemas.openxmlformats.org/officeDocument/2006/relationships/hyperlink" Target="https://attention.com" TargetMode="External" Id="rId182" /><Relationship Type="http://schemas.openxmlformats.org/officeDocument/2006/relationships/hyperlink" Target="https://lavender.ai" TargetMode="External" Id="rId183" /><Relationship Type="http://schemas.openxmlformats.org/officeDocument/2006/relationships/hyperlink" Target="https://outreach.io" TargetMode="External" Id="rId184" /><Relationship Type="http://schemas.openxmlformats.org/officeDocument/2006/relationships/hyperlink" Target="https://sybill.ai" TargetMode="External" Id="rId185" /><Relationship Type="http://schemas.openxmlformats.org/officeDocument/2006/relationships/hyperlink" Target="https://askdonna.com" TargetMode="External" Id="rId186" /><Relationship Type="http://schemas.openxmlformats.org/officeDocument/2006/relationships/hyperlink" Target="https://blueticks.co" TargetMode="External" Id="rId187" /><Relationship Type="http://schemas.openxmlformats.org/officeDocument/2006/relationships/hyperlink" Target="https://github.com/twentyhq/twenty" TargetMode="External" Id="rId188" /><Relationship Type="http://schemas.openxmlformats.org/officeDocument/2006/relationships/hyperlink" Target="https://github.com/espocrm/espocrm" TargetMode="External" Id="rId189" /><Relationship Type="http://schemas.openxmlformats.org/officeDocument/2006/relationships/hyperlink" Target="https://github.com/frappe/crm" TargetMode="External" Id="rId190" /><Relationship Type="http://schemas.openxmlformats.org/officeDocument/2006/relationships/hyperlink" Target="https://zoominfo.com" TargetMode="External" Id="rId191" /><Relationship Type="http://schemas.openxmlformats.org/officeDocument/2006/relationships/hyperlink" Target="https://lusha.com" TargetMode="External" Id="rId192" /><Relationship Type="http://schemas.openxmlformats.org/officeDocument/2006/relationships/hyperlink" Target="https://seamless.ai" TargetMode="External" Id="rId193" /><Relationship Type="http://schemas.openxmlformats.org/officeDocument/2006/relationships/hyperlink" Target="https://instantly.ai" TargetMode="External" Id="rId194" /><Relationship Type="http://schemas.openxmlformats.org/officeDocument/2006/relationships/hyperlink" Target="https://smartlead.ai" TargetMode="External" Id="rId195" /><Relationship Type="http://schemas.openxmlformats.org/officeDocument/2006/relationships/hyperlink" Target="https://lemlist.com" TargetMode="External" Id="rId196" /><Relationship Type="http://schemas.openxmlformats.org/officeDocument/2006/relationships/hyperlink" Target="https://reply.io" TargetMode="External" Id="rId197" /><Relationship Type="http://schemas.openxmlformats.org/officeDocument/2006/relationships/hyperlink" Target="https://qualified.com" TargetMode="External" Id="rId198" /><Relationship Type="http://schemas.openxmlformats.org/officeDocument/2006/relationships/hyperlink" Target="https://11x.ai" TargetMode="External" Id="rId199" /><Relationship Type="http://schemas.openxmlformats.org/officeDocument/2006/relationships/hyperlink" Target="https://artisan.co" TargetMode="External" Id="rId200" /><Relationship Type="http://schemas.openxmlformats.org/officeDocument/2006/relationships/hyperlink" Target="https://nooks.ai" TargetMode="External" Id="rId201" /><Relationship Type="http://schemas.openxmlformats.org/officeDocument/2006/relationships/hyperlink" Target="https://warmly.ai" TargetMode="External" Id="rId202" /><Relationship Type="http://schemas.openxmlformats.org/officeDocument/2006/relationships/hyperlink" Target="https://crystalknows.com" TargetMode="External" Id="rId203" /><Relationship Type="http://schemas.openxmlformats.org/officeDocument/2006/relationships/hyperlink" Target="https://regie.ai" TargetMode="External" Id="rId204" /><Relationship Type="http://schemas.openxmlformats.org/officeDocument/2006/relationships/hyperlink" Target="https://salesape.ai" TargetMode="External" Id="rId205" /><Relationship Type="http://schemas.openxmlformats.org/officeDocument/2006/relationships/hyperlink" Target="https://altahq.com" TargetMode="External" Id="rId206" /><Relationship Type="http://schemas.openxmlformats.org/officeDocument/2006/relationships/hyperlink" Target="https://salescloser.ai" TargetMode="External" Id="rId207" /><Relationship Type="http://schemas.openxmlformats.org/officeDocument/2006/relationships/hyperlink" Target="https://aisdr.com" TargetMode="External" Id="rId208" /><Relationship Type="http://schemas.openxmlformats.org/officeDocument/2006/relationships/hyperlink" Target="https://salesforge.ai" TargetMode="External" Id="rId209" /><Relationship Type="http://schemas.openxmlformats.org/officeDocument/2006/relationships/hyperlink" Target="https://amplemarket.com" TargetMode="External" Id="rId210" /><Relationship Type="http://schemas.openxmlformats.org/officeDocument/2006/relationships/hyperlink" Target="https://relevanceai.com" TargetMode="External" Id="rId211" /><Relationship Type="http://schemas.openxmlformats.org/officeDocument/2006/relationships/hyperlink" Target="https://unifygtm.com" TargetMode="External" Id="rId212" /><Relationship Type="http://schemas.openxmlformats.org/officeDocument/2006/relationships/hyperlink" Target="https://commonroom.io" TargetMode="External" Id="rId213" /><Relationship Type="http://schemas.openxmlformats.org/officeDocument/2006/relationships/hyperlink" Target="https://humantic.ai" TargetMode="External" Id="rId214" /><Relationship Type="http://schemas.openxmlformats.org/officeDocument/2006/relationships/hyperlink" Target="https://github.com/knadh/listmonk" TargetMode="External" Id="rId215" /><Relationship Type="http://schemas.openxmlformats.org/officeDocument/2006/relationships/hyperlink" Target="https://semrush.com" TargetMode="External" Id="rId216" /><Relationship Type="http://schemas.openxmlformats.org/officeDocument/2006/relationships/hyperlink" Target="https://ahrefs.com" TargetMode="External" Id="rId217" /><Relationship Type="http://schemas.openxmlformats.org/officeDocument/2006/relationships/hyperlink" Target="https://surferseo.com" TargetMode="External" Id="rId218" /><Relationship Type="http://schemas.openxmlformats.org/officeDocument/2006/relationships/hyperlink" Target="https://adcreative.ai" TargetMode="External" Id="rId219" /><Relationship Type="http://schemas.openxmlformats.org/officeDocument/2006/relationships/hyperlink" Target="https://hootsuite.com" TargetMode="External" Id="rId220" /><Relationship Type="http://schemas.openxmlformats.org/officeDocument/2006/relationships/hyperlink" Target="https://buffer.com" TargetMode="External" Id="rId221" /><Relationship Type="http://schemas.openxmlformats.org/officeDocument/2006/relationships/hyperlink" Target="https://mailchimp.com" TargetMode="External" Id="rId222" /><Relationship Type="http://schemas.openxmlformats.org/officeDocument/2006/relationships/hyperlink" Target="https://trysoro.com" TargetMode="External" Id="rId223" /><Relationship Type="http://schemas.openxmlformats.org/officeDocument/2006/relationships/hyperlink" Target="https://github.com/mautic/mautic" TargetMode="External" Id="rId224" /><Relationship Type="http://schemas.openxmlformats.org/officeDocument/2006/relationships/hyperlink" Target="https://github.com/gitroomhq/postiz-app" TargetMode="External" Id="rId225" /><Relationship Type="http://schemas.openxmlformats.org/officeDocument/2006/relationships/hyperlink" Target="https://github.com/matomo-org/matomo" TargetMode="External" Id="rId226" /><Relationship Type="http://schemas.openxmlformats.org/officeDocument/2006/relationships/hyperlink" Target="https://elicit.com" TargetMode="External" Id="rId227" /><Relationship Type="http://schemas.openxmlformats.org/officeDocument/2006/relationships/hyperlink" Target="https://consensus.app" TargetMode="External" Id="rId228" /><Relationship Type="http://schemas.openxmlformats.org/officeDocument/2006/relationships/hyperlink" Target="https://scispace.com" TargetMode="External" Id="rId229" /><Relationship Type="http://schemas.openxmlformats.org/officeDocument/2006/relationships/hyperlink" Target="https://github.com/assafelovic/gpt-researcher" TargetMode="External" Id="rId230" /><Relationship Type="http://schemas.openxmlformats.org/officeDocument/2006/relationships/hyperlink" Target="https://github.com/stanford-oval/storm" TargetMode="External" Id="rId2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TOOLS DIRECTORY — June 2026</t>
        </is>
      </c>
    </row>
    <row r="2">
      <c r="A2" t="inlineStr"/>
    </row>
    <row r="3">
      <c r="A3" t="inlineStr">
        <is>
          <t>De-duplicated master list compiled from four 'top AI tools' roundups (130+, 120+, and 110+ tool lists),</t>
        </is>
      </c>
    </row>
    <row r="4">
      <c r="A4" t="inlineStr">
        <is>
          <t>plus additions Claude considers relevant in 2026 (e.g. Claude Code, Windsurf, Lovable, Granola, NotebookLM,</t>
        </is>
      </c>
    </row>
    <row r="5">
      <c r="A5" t="inlineStr">
        <is>
          <t>ElevenLabs, Synthesia, HeyGen, Clay, Cal.com) and free/open-source GitHub alternatives in every category.</t>
        </is>
      </c>
    </row>
    <row r="6">
      <c r="A6" t="inlineStr"/>
    </row>
    <row r="7">
      <c r="A7" s="2" t="inlineStr">
        <is>
          <t>HOW TO READ IT</t>
        </is>
      </c>
    </row>
    <row r="8">
      <c r="A8" t="inlineStr">
        <is>
          <t>- 'All Tools' tab: every tool grouped by category. Green rows = free / open-source (GitHub) alternatives,</t>
        </is>
      </c>
    </row>
    <row r="9">
      <c r="A9" t="inlineStr">
        <is>
          <t xml:space="preserve">  listed in the same category as the paid tools they can replace.</t>
        </is>
      </c>
    </row>
    <row r="10">
      <c r="A10" t="inlineStr">
        <is>
          <t>- 'Top Picks' tab: the 3 highest-scoring tools per category.</t>
        </is>
      </c>
    </row>
    <row r="11">
      <c r="A11" t="inlineStr">
        <is>
          <t>- Logo column uses live favicons via =IMAGE() — they render in Google Sheets / Excel 365.</t>
        </is>
      </c>
    </row>
    <row r="12">
      <c r="A12" t="inlineStr"/>
    </row>
    <row r="13">
      <c r="A13" s="2" t="inlineStr">
        <is>
          <t>SCORING (1-10, higher is better)</t>
        </is>
      </c>
    </row>
    <row r="14">
      <c r="A14" t="inlineStr">
        <is>
          <t>- Integration: APIs, ecosystem, and especially Claude/MCP support.</t>
        </is>
      </c>
    </row>
    <row r="15">
      <c r="A15" t="inlineStr">
        <is>
          <t>- Cost value: what you get per pound/dollar (free &amp; open-source score high).</t>
        </is>
      </c>
    </row>
    <row r="16">
      <c r="A16" t="inlineStr">
        <is>
          <t>- Functionality: depth and quality of what the tool actually does.</t>
        </is>
      </c>
    </row>
    <row r="17">
      <c r="A17" t="inlineStr">
        <is>
          <t>- Overall = average of the three. Rank = position within its category.</t>
        </is>
      </c>
    </row>
    <row r="18">
      <c r="A18" t="inlineStr"/>
    </row>
    <row r="19">
      <c r="A19" t="inlineStr">
        <is>
          <t>'Works with Claude?' = Native (is Claude), Yes (official integration/MCP or Claude selectable as a model),</t>
        </is>
      </c>
    </row>
    <row r="20">
      <c r="A20" t="inlineStr">
        <is>
          <t>Partial (connects via API/Zapier/community MCP), No (no meaningful Claude connection today).</t>
        </is>
      </c>
    </row>
    <row r="21">
      <c r="A21" t="inlineStr"/>
    </row>
    <row r="22">
      <c r="A22" s="2" t="inlineStr">
        <is>
          <t>CAVEATS</t>
        </is>
      </c>
    </row>
    <row r="23">
      <c r="A23" t="inlineStr">
        <is>
          <t>- Prices are approximate (typically per user/month, billed annually where cheaper) and change frequently —</t>
        </is>
      </c>
    </row>
    <row r="24">
      <c r="A24" t="inlineStr">
        <is>
          <t xml:space="preserve">  always check the vendor's pricing page before buying.</t>
        </is>
      </c>
    </row>
    <row r="25">
      <c r="A25" t="inlineStr">
        <is>
          <t>- A few tools from the source images are tiny vendors (Friday, Clippit.AI, Deckopilot, Equal Time) —</t>
        </is>
      </c>
    </row>
    <row r="26">
      <c r="A26" t="inlineStr">
        <is>
          <t xml:space="preserve">  flagged in their Cons; verify before purchase. Codiga has been discontinued (acquired by Datadog).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30" customWidth="1" min="4" max="4"/>
    <col width="46" customWidth="1" min="5" max="5"/>
    <col width="28" customWidth="1" min="6" max="6"/>
    <col width="38" customWidth="1" min="7" max="7"/>
    <col width="42" customWidth="1" min="8" max="8"/>
    <col width="40" customWidth="1" min="9" max="9"/>
    <col width="32" customWidth="1" min="10" max="10"/>
    <col width="12" customWidth="1" min="11" max="11"/>
    <col width="12" customWidth="1" min="12" max="12"/>
    <col width="14" customWidth="1" min="13" max="13"/>
    <col width="9" customWidth="1" min="14" max="14"/>
    <col width="8" customWidth="1" min="15" max="15"/>
  </cols>
  <sheetData>
    <row r="1">
      <c r="A1" s="3" t="inlineStr">
        <is>
          <t>Logo</t>
        </is>
      </c>
      <c r="B1" s="3" t="inlineStr">
        <is>
          <t>Tool</t>
        </is>
      </c>
      <c r="C1" s="3" t="inlineStr">
        <is>
          <t>Type</t>
        </is>
      </c>
      <c r="D1" s="3" t="inlineStr">
        <is>
          <t>Website</t>
        </is>
      </c>
      <c r="E1" s="3" t="inlineStr">
        <is>
          <t>What it does</t>
        </is>
      </c>
      <c r="F1" s="3" t="inlineStr">
        <is>
          <t>Approx cost (Jun 2026)</t>
        </is>
      </c>
      <c r="G1" s="3" t="inlineStr">
        <is>
          <t>Works with Claude?</t>
        </is>
      </c>
      <c r="H1" s="3" t="inlineStr">
        <is>
          <t>Pros</t>
        </is>
      </c>
      <c r="I1" s="3" t="inlineStr">
        <is>
          <t>Cons</t>
        </is>
      </c>
      <c r="J1" s="3" t="inlineStr">
        <is>
          <t>Best for</t>
        </is>
      </c>
      <c r="K1" s="3" t="inlineStr">
        <is>
          <t>Integration /10</t>
        </is>
      </c>
      <c r="L1" s="3" t="inlineStr">
        <is>
          <t>Cost value /10</t>
        </is>
      </c>
      <c r="M1" s="3" t="inlineStr">
        <is>
          <t>Functionality /10</t>
        </is>
      </c>
      <c r="N1" s="3" t="inlineStr">
        <is>
          <t>Overall</t>
        </is>
      </c>
      <c r="O1" s="3" t="inlineStr">
        <is>
          <t>Rank in category</t>
        </is>
      </c>
    </row>
    <row r="2" ht="22" customHeight="1">
      <c r="A2" s="4" t="inlineStr">
        <is>
          <t>AI Chatbots &amp; Assistants</t>
        </is>
      </c>
    </row>
    <row r="3" ht="58" customHeight="1">
      <c r="A3" s="5">
        <f>IMAGE("https://www.google.com/s2/favicons?domain=claude.ai&amp;sz=64")</f>
        <v/>
      </c>
      <c r="B3" s="6" t="inlineStr">
        <is>
          <t>Claude</t>
        </is>
      </c>
      <c r="C3" s="7" t="inlineStr">
        <is>
          <t>Freemium</t>
        </is>
      </c>
      <c r="D3" s="8" t="inlineStr">
        <is>
          <t>claude.ai</t>
        </is>
      </c>
      <c r="E3" s="7" t="inlineStr">
        <is>
          <t>Anthropic's AI assistant: chat, analysis, coding, artifacts, Projects, Research mode</t>
        </is>
      </c>
      <c r="F3" s="7" t="inlineStr">
        <is>
          <t>Free; Pro $20/mo; Max $100-200/mo</t>
        </is>
      </c>
      <c r="G3" s="7" t="inlineStr">
        <is>
          <t>Native — this IS Claude; MCP connectors to Drive, Notion, Canva etc.</t>
        </is>
      </c>
      <c r="H3" s="7" t="inlineStr">
        <is>
          <t>Best-in-class reasoning &amp; writing; strong coding; MCP ecosystem</t>
        </is>
      </c>
      <c r="I3" s="7" t="inlineStr">
        <is>
          <t>No image generation; usage limits on lower tiers</t>
        </is>
      </c>
      <c r="J3" s="7" t="inlineStr">
        <is>
          <t>Knowledge workers, developers, writers, analysts</t>
        </is>
      </c>
      <c r="K3" s="5" t="n">
        <v>10</v>
      </c>
      <c r="L3" s="5" t="n">
        <v>8</v>
      </c>
      <c r="M3" s="5" t="n">
        <v>10</v>
      </c>
      <c r="N3" s="5" t="n">
        <v>9.300000000000001</v>
      </c>
      <c r="O3" s="5" t="n">
        <v>1</v>
      </c>
    </row>
    <row r="4" ht="58" customHeight="1">
      <c r="A4" s="5">
        <f>IMAGE("https://www.google.com/s2/favicons?domain=chatgpt.com&amp;sz=64")</f>
        <v/>
      </c>
      <c r="B4" s="6" t="inlineStr">
        <is>
          <t>ChatGPT</t>
        </is>
      </c>
      <c r="C4" s="7" t="inlineStr">
        <is>
          <t>Freemium</t>
        </is>
      </c>
      <c r="D4" s="8" t="inlineStr">
        <is>
          <t>chatgpt.com</t>
        </is>
      </c>
      <c r="E4" s="7" t="inlineStr">
        <is>
          <t>OpenAI's assistant: chat, image gen (DALL-E/4o), voice, Sora access, custom GPTs</t>
        </is>
      </c>
      <c r="F4" s="7" t="inlineStr">
        <is>
          <t>Free; Plus $20/mo; Pro $200/mo</t>
        </is>
      </c>
      <c r="G4" s="7" t="inlineStr">
        <is>
          <t>No — competing assistant (can be paired via API in apps)</t>
        </is>
      </c>
      <c r="H4" s="7" t="inlineStr">
        <is>
          <t>Most features in one app; huge plugin/GPT ecosystem; images + voice</t>
        </is>
      </c>
      <c r="I4" s="7" t="inlineStr">
        <is>
          <t>Quality varies by model; privacy concerns for some orgs</t>
        </is>
      </c>
      <c r="J4" s="7" t="inlineStr">
        <is>
          <t>General consumers and broad multi-modal use</t>
        </is>
      </c>
      <c r="K4" s="5" t="n">
        <v>7</v>
      </c>
      <c r="L4" s="5" t="n">
        <v>8</v>
      </c>
      <c r="M4" s="5" t="n">
        <v>10</v>
      </c>
      <c r="N4" s="5" t="n">
        <v>8.300000000000001</v>
      </c>
      <c r="O4" s="5" t="n">
        <v>4</v>
      </c>
    </row>
    <row r="5" ht="58" customHeight="1">
      <c r="A5" s="5">
        <f>IMAGE("https://www.google.com/s2/favicons?domain=gemini.google.com&amp;sz=64")</f>
        <v/>
      </c>
      <c r="B5" s="6" t="inlineStr">
        <is>
          <t>Google Gemini</t>
        </is>
      </c>
      <c r="C5" s="7" t="inlineStr">
        <is>
          <t>Freemium</t>
        </is>
      </c>
      <c r="D5" s="8" t="inlineStr">
        <is>
          <t>gemini.google.com</t>
        </is>
      </c>
      <c r="E5" s="7" t="inlineStr">
        <is>
          <t>Google's assistant integrated with Workspace, Search, NotebookLM; long context</t>
        </is>
      </c>
      <c r="F5" s="7" t="inlineStr">
        <is>
          <t>Free; AI Pro $20/mo; Ultra $250/mo</t>
        </is>
      </c>
      <c r="G5" s="7" t="inlineStr">
        <is>
          <t>No — competing assistant</t>
        </is>
      </c>
      <c r="H5" s="7" t="inlineStr">
        <is>
          <t>Deep Google Workspace integration; huge context window; Veo video</t>
        </is>
      </c>
      <c r="I5" s="7" t="inlineStr">
        <is>
          <t>Less consistent for complex coding; tied to Google ecosystem</t>
        </is>
      </c>
      <c r="J5" s="7" t="inlineStr">
        <is>
          <t>Google Workspace users</t>
        </is>
      </c>
      <c r="K5" s="5" t="n">
        <v>7</v>
      </c>
      <c r="L5" s="5" t="n">
        <v>8</v>
      </c>
      <c r="M5" s="5" t="n">
        <v>9</v>
      </c>
      <c r="N5" s="5" t="n">
        <v>8</v>
      </c>
      <c r="O5" s="5" t="n">
        <v>5</v>
      </c>
    </row>
    <row r="6" ht="58" customHeight="1">
      <c r="A6" s="5">
        <f>IMAGE("https://www.google.com/s2/favicons?domain=copilot.microsoft.com&amp;sz=64")</f>
        <v/>
      </c>
      <c r="B6" s="6" t="inlineStr">
        <is>
          <t>Microsoft Copilot</t>
        </is>
      </c>
      <c r="C6" s="7" t="inlineStr">
        <is>
          <t>Freemium</t>
        </is>
      </c>
      <c r="D6" s="8" t="inlineStr">
        <is>
          <t>copilot.microsoft.com</t>
        </is>
      </c>
      <c r="E6" s="7" t="inlineStr">
        <is>
          <t>Microsoft's assistant across Windows, Edge, Bing and Microsoft 365 apps</t>
        </is>
      </c>
      <c r="F6" s="7" t="inlineStr">
        <is>
          <t>Free; Copilot Pro $20/mo; M365 Copilot $30/user/mo</t>
        </is>
      </c>
      <c r="G6" s="7" t="inlineStr">
        <is>
          <t>No — consumer Copilot uses OpenAI (GitHub Copilot does offer Claude)</t>
        </is>
      </c>
      <c r="H6" s="7" t="inlineStr">
        <is>
          <t>Built into Office/Windows; enterprise data protection</t>
        </is>
      </c>
      <c r="I6" s="7" t="inlineStr">
        <is>
          <t>Quality lags rivals; M365 Copilot pricey per seat</t>
        </is>
      </c>
      <c r="J6" s="7" t="inlineStr">
        <is>
          <t>Microsoft 365 organisations</t>
        </is>
      </c>
      <c r="K6" s="5" t="n">
        <v>7</v>
      </c>
      <c r="L6" s="5" t="n">
        <v>7</v>
      </c>
      <c r="M6" s="5" t="n">
        <v>8</v>
      </c>
      <c r="N6" s="5" t="n">
        <v>7.3</v>
      </c>
      <c r="O6" s="5" t="n">
        <v>10</v>
      </c>
    </row>
    <row r="7" ht="58" customHeight="1">
      <c r="A7" s="5">
        <f>IMAGE("https://www.google.com/s2/favicons?domain=perplexity.ai&amp;sz=64")</f>
        <v/>
      </c>
      <c r="B7" s="6" t="inlineStr">
        <is>
          <t>Perplexity</t>
        </is>
      </c>
      <c r="C7" s="7" t="inlineStr">
        <is>
          <t>Freemium</t>
        </is>
      </c>
      <c r="D7" s="8" t="inlineStr">
        <is>
          <t>perplexity.ai</t>
        </is>
      </c>
      <c r="E7" s="7" t="inlineStr">
        <is>
          <t>AI answer engine with live web search, citations and Deep Research</t>
        </is>
      </c>
      <c r="F7" s="7" t="inlineStr">
        <is>
          <t>Free; Pro $20/mo; Max $200/mo</t>
        </is>
      </c>
      <c r="G7" s="7" t="inlineStr">
        <is>
          <t>Yes — Claude selectable as a model on Pro</t>
        </is>
      </c>
      <c r="H7" s="7" t="inlineStr">
        <is>
          <t>Cited, current answers; multi-model choice; great research UX</t>
        </is>
      </c>
      <c r="I7" s="7" t="inlineStr">
        <is>
          <t>Not a full work assistant; limited doc/file workflows</t>
        </is>
      </c>
      <c r="J7" s="7" t="inlineStr">
        <is>
          <t>Researchers and anyone replacing web search</t>
        </is>
      </c>
      <c r="K7" s="5" t="n">
        <v>8</v>
      </c>
      <c r="L7" s="5" t="n">
        <v>8</v>
      </c>
      <c r="M7" s="5" t="n">
        <v>8</v>
      </c>
      <c r="N7" s="5" t="n">
        <v>8</v>
      </c>
      <c r="O7" s="5" t="n">
        <v>6</v>
      </c>
    </row>
    <row r="8" ht="58" customHeight="1">
      <c r="A8" s="5">
        <f>IMAGE("https://www.google.com/s2/favicons?domain=grok.com&amp;sz=64")</f>
        <v/>
      </c>
      <c r="B8" s="6" t="inlineStr">
        <is>
          <t>Grok</t>
        </is>
      </c>
      <c r="C8" s="7" t="inlineStr">
        <is>
          <t>Freemium</t>
        </is>
      </c>
      <c r="D8" s="8" t="inlineStr">
        <is>
          <t>grok.com</t>
        </is>
      </c>
      <c r="E8" s="7" t="inlineStr">
        <is>
          <t>xAI's assistant with real-time X (Twitter) data and an irreverent tone</t>
        </is>
      </c>
      <c r="F8" s="7" t="inlineStr">
        <is>
          <t>Free (limited); SuperGrok $30/mo; via X Premium+</t>
        </is>
      </c>
      <c r="G8" s="7" t="inlineStr">
        <is>
          <t>No</t>
        </is>
      </c>
      <c r="H8" s="7" t="inlineStr">
        <is>
          <t>Real-time social data; fast; generous free tier</t>
        </is>
      </c>
      <c r="I8" s="7" t="inlineStr">
        <is>
          <t>Weaker ecosystem/integrations; X-centric</t>
        </is>
      </c>
      <c r="J8" s="7" t="inlineStr">
        <is>
          <t>Social-media-heavy users, news tracking</t>
        </is>
      </c>
      <c r="K8" s="5" t="n">
        <v>5</v>
      </c>
      <c r="L8" s="5" t="n">
        <v>7</v>
      </c>
      <c r="M8" s="5" t="n">
        <v>7</v>
      </c>
      <c r="N8" s="5" t="n">
        <v>6.3</v>
      </c>
      <c r="O8" s="5" t="n">
        <v>12</v>
      </c>
    </row>
    <row r="9" ht="58" customHeight="1">
      <c r="A9" s="9">
        <f>IMAGE("https://www.google.com/s2/favicons?domain=deepseek.com&amp;sz=64")</f>
        <v/>
      </c>
      <c r="B9" s="10" t="inlineStr">
        <is>
          <t>DeepSeek</t>
        </is>
      </c>
      <c r="C9" s="11" t="inlineStr">
        <is>
          <t>Free</t>
        </is>
      </c>
      <c r="D9" s="12" t="inlineStr">
        <is>
          <t>deepseek.com</t>
        </is>
      </c>
      <c r="E9" s="11" t="inlineStr">
        <is>
          <t>Chinese open-weight frontier models (V3/R1) with free chat app and cheap API</t>
        </is>
      </c>
      <c r="F9" s="11" t="inlineStr">
        <is>
          <t>Free app; very cheap API</t>
        </is>
      </c>
      <c r="G9" s="11" t="inlineStr">
        <is>
          <t>No</t>
        </is>
      </c>
      <c r="H9" s="11" t="inlineStr">
        <is>
          <t>Strong reasoning for free; open weights; ultra-cheap API</t>
        </is>
      </c>
      <c r="I9" s="11" t="inlineStr">
        <is>
          <t>Data residency/privacy concerns; weaker tooling</t>
        </is>
      </c>
      <c r="J9" s="11" t="inlineStr">
        <is>
          <t>Budget-conscious users, self-hosters</t>
        </is>
      </c>
      <c r="K9" s="9" t="n">
        <v>5</v>
      </c>
      <c r="L9" s="9" t="n">
        <v>10</v>
      </c>
      <c r="M9" s="9" t="n">
        <v>8</v>
      </c>
      <c r="N9" s="9" t="n">
        <v>7.7</v>
      </c>
      <c r="O9" s="9" t="n">
        <v>8</v>
      </c>
    </row>
    <row r="10" ht="58" customHeight="1">
      <c r="A10" s="9">
        <f>IMAGE("https://www.google.com/s2/favicons?domain=meta.ai&amp;sz=64")</f>
        <v/>
      </c>
      <c r="B10" s="10" t="inlineStr">
        <is>
          <t>Meta AI</t>
        </is>
      </c>
      <c r="C10" s="11" t="inlineStr">
        <is>
          <t>Free</t>
        </is>
      </c>
      <c r="D10" s="12" t="inlineStr">
        <is>
          <t>meta.ai</t>
        </is>
      </c>
      <c r="E10" s="11" t="inlineStr">
        <is>
          <t>Meta's Llama-powered assistant in WhatsApp, Instagram, Messenger and web</t>
        </is>
      </c>
      <c r="F10" s="11" t="inlineStr">
        <is>
          <t>Free</t>
        </is>
      </c>
      <c r="G10" s="11" t="inlineStr">
        <is>
          <t>No</t>
        </is>
      </c>
      <c r="H10" s="11" t="inlineStr">
        <is>
          <t>Free; everywhere in Meta apps; open Llama lineage</t>
        </is>
      </c>
      <c r="I10" s="11" t="inlineStr">
        <is>
          <t>Behind frontier rivals; ads/data trade-offs</t>
        </is>
      </c>
      <c r="J10" s="11" t="inlineStr">
        <is>
          <t>Casual users already in Meta apps</t>
        </is>
      </c>
      <c r="K10" s="9" t="n">
        <v>4</v>
      </c>
      <c r="L10" s="9" t="n">
        <v>10</v>
      </c>
      <c r="M10" s="9" t="n">
        <v>6</v>
      </c>
      <c r="N10" s="9" t="n">
        <v>6.7</v>
      </c>
      <c r="O10" s="9" t="n">
        <v>11</v>
      </c>
    </row>
    <row r="11" ht="58" customHeight="1">
      <c r="A11" s="9">
        <f>IMAGE("https://www.google.com/s2/favicons?domain=github.com&amp;sz=64")</f>
        <v/>
      </c>
      <c r="B11" s="10" t="inlineStr">
        <is>
          <t>Open WebUI</t>
        </is>
      </c>
      <c r="C11" s="11" t="inlineStr">
        <is>
          <t>Open source (GitHub)</t>
        </is>
      </c>
      <c r="D11" s="12" t="inlineStr">
        <is>
          <t>github.com/open-webui/open-webui</t>
        </is>
      </c>
      <c r="E11" s="11" t="inlineStr">
        <is>
          <t>Self-hosted ChatGPT-style web UI for local (Ollama) and API models</t>
        </is>
      </c>
      <c r="F11" s="11" t="inlineStr">
        <is>
          <t>Free (self-host)</t>
        </is>
      </c>
      <c r="G11" s="11" t="inlineStr">
        <is>
          <t>Yes — connect Anthropic API key to chat with Claude</t>
        </is>
      </c>
      <c r="H11" s="11" t="inlineStr">
        <is>
          <t>Private; multi-model; RAG, tools, users built in</t>
        </is>
      </c>
      <c r="I11" s="11" t="inlineStr">
        <is>
          <t>You run/maintain it; needs API keys or a GPU</t>
        </is>
      </c>
      <c r="J11" s="11" t="inlineStr">
        <is>
          <t>Teams wanting a private multi-model chat portal</t>
        </is>
      </c>
      <c r="K11" s="9" t="n">
        <v>8</v>
      </c>
      <c r="L11" s="9" t="n">
        <v>10</v>
      </c>
      <c r="M11" s="9" t="n">
        <v>8</v>
      </c>
      <c r="N11" s="9" t="n">
        <v>8.699999999999999</v>
      </c>
      <c r="O11" s="9" t="n">
        <v>2</v>
      </c>
    </row>
    <row r="12" ht="58" customHeight="1">
      <c r="A12" s="9">
        <f>IMAGE("https://www.google.com/s2/favicons?domain=github.com&amp;sz=64")</f>
        <v/>
      </c>
      <c r="B12" s="10" t="inlineStr">
        <is>
          <t>LibreChat</t>
        </is>
      </c>
      <c r="C12" s="11" t="inlineStr">
        <is>
          <t>Open source (GitHub)</t>
        </is>
      </c>
      <c r="D12" s="12" t="inlineStr">
        <is>
          <t>github.com/danny-avila/LibreChat</t>
        </is>
      </c>
      <c r="E12" s="11" t="inlineStr">
        <is>
          <t>Open-source multi-provider chat UI (Anthropic, OpenAI, Google, local)</t>
        </is>
      </c>
      <c r="F12" s="11" t="inlineStr">
        <is>
          <t>Free (self-host)</t>
        </is>
      </c>
      <c r="G12" s="11" t="inlineStr">
        <is>
          <t>Yes — first-class Anthropic/Claude endpoint support</t>
        </is>
      </c>
      <c r="H12" s="11" t="inlineStr">
        <is>
          <t>All providers in one UI; agents, RAG, MCP support</t>
        </is>
      </c>
      <c r="I12" s="11" t="inlineStr">
        <is>
          <t>Setup/maintenance overhead</t>
        </is>
      </c>
      <c r="J12" s="11" t="inlineStr">
        <is>
          <t>Companies standardising on one chat front-end</t>
        </is>
      </c>
      <c r="K12" s="9" t="n">
        <v>8</v>
      </c>
      <c r="L12" s="9" t="n">
        <v>10</v>
      </c>
      <c r="M12" s="9" t="n">
        <v>8</v>
      </c>
      <c r="N12" s="9" t="n">
        <v>8.699999999999999</v>
      </c>
      <c r="O12" s="9" t="n">
        <v>3</v>
      </c>
    </row>
    <row r="13" ht="58" customHeight="1">
      <c r="A13" s="9">
        <f>IMAGE("https://www.google.com/s2/favicons?domain=jan.ai&amp;sz=64")</f>
        <v/>
      </c>
      <c r="B13" s="10" t="inlineStr">
        <is>
          <t>Jan</t>
        </is>
      </c>
      <c r="C13" s="11" t="inlineStr">
        <is>
          <t>Open source (GitHub)</t>
        </is>
      </c>
      <c r="D13" s="12" t="inlineStr">
        <is>
          <t>jan.ai</t>
        </is>
      </c>
      <c r="E13" s="11" t="inlineStr">
        <is>
          <t>Offline-first desktop AI app running local models, with remote API option</t>
        </is>
      </c>
      <c r="F13" s="11" t="inlineStr">
        <is>
          <t>Free</t>
        </is>
      </c>
      <c r="G13" s="11" t="inlineStr">
        <is>
          <t>Yes — add Anthropic API as remote engine</t>
        </is>
      </c>
      <c r="H13" s="11" t="inlineStr">
        <is>
          <t>100% local/private option; simple install</t>
        </is>
      </c>
      <c r="I13" s="11" t="inlineStr">
        <is>
          <t>Local models need decent hardware</t>
        </is>
      </c>
      <c r="J13" s="11" t="inlineStr">
        <is>
          <t>Privacy-first individuals</t>
        </is>
      </c>
      <c r="K13" s="9" t="n">
        <v>7</v>
      </c>
      <c r="L13" s="9" t="n">
        <v>10</v>
      </c>
      <c r="M13" s="9" t="n">
        <v>6</v>
      </c>
      <c r="N13" s="9" t="n">
        <v>7.7</v>
      </c>
      <c r="O13" s="9" t="n">
        <v>9</v>
      </c>
    </row>
    <row r="14" ht="58" customHeight="1">
      <c r="A14" s="9">
        <f>IMAGE("https://www.google.com/s2/favicons?domain=ollama.com&amp;sz=64")</f>
        <v/>
      </c>
      <c r="B14" s="10" t="inlineStr">
        <is>
          <t>Ollama</t>
        </is>
      </c>
      <c r="C14" s="11" t="inlineStr">
        <is>
          <t>Open source (GitHub)</t>
        </is>
      </c>
      <c r="D14" s="12" t="inlineStr">
        <is>
          <t>ollama.com</t>
        </is>
      </c>
      <c r="E14" s="11" t="inlineStr">
        <is>
          <t>Run open LLMs (Llama, Mistral, DeepSeek, Qwen) locally with one command</t>
        </is>
      </c>
      <c r="F14" s="11" t="inlineStr">
        <is>
          <t>Free</t>
        </is>
      </c>
      <c r="G14" s="11" t="inlineStr">
        <is>
          <t>No — runs open models; pairs alongside Claude tools</t>
        </is>
      </c>
      <c r="H14" s="11" t="inlineStr">
        <is>
          <t>Dead-simple local LLMs; big model library; API server</t>
        </is>
      </c>
      <c r="I14" s="11" t="inlineStr">
        <is>
          <t>No hosted models; hardware-bound quality</t>
        </is>
      </c>
      <c r="J14" s="11" t="inlineStr">
        <is>
          <t>Developers and tinkerers running local models</t>
        </is>
      </c>
      <c r="K14" s="9" t="n">
        <v>7</v>
      </c>
      <c r="L14" s="9" t="n">
        <v>10</v>
      </c>
      <c r="M14" s="9" t="n">
        <v>7</v>
      </c>
      <c r="N14" s="9" t="n">
        <v>8</v>
      </c>
      <c r="O14" s="9" t="n">
        <v>7</v>
      </c>
    </row>
    <row r="15" ht="22" customHeight="1">
      <c r="A15" s="4" t="inlineStr">
        <is>
          <t>AI Coding Assistants</t>
        </is>
      </c>
    </row>
    <row r="16" ht="58" customHeight="1">
      <c r="A16" s="5">
        <f>IMAGE("https://www.google.com/s2/favicons?domain=claude.com&amp;sz=64")</f>
        <v/>
      </c>
      <c r="B16" s="6" t="inlineStr">
        <is>
          <t>Claude Code</t>
        </is>
      </c>
      <c r="C16" s="7" t="inlineStr">
        <is>
          <t>Paid</t>
        </is>
      </c>
      <c r="D16" s="8" t="inlineStr">
        <is>
          <t>claude.com/claude-code</t>
        </is>
      </c>
      <c r="E16" s="7" t="inlineStr">
        <is>
          <t>Anthropic's agentic coding tool: terminal, IDE, web and GitHub integration</t>
        </is>
      </c>
      <c r="F16" s="7" t="inlineStr">
        <is>
          <t>Included with Pro/Max ($20-200/mo) or API usage</t>
        </is>
      </c>
      <c r="G16" s="7" t="inlineStr">
        <is>
          <t>Native — built on Claude; MCP, hooks, subagents</t>
        </is>
      </c>
      <c r="H16" s="7" t="inlineStr">
        <is>
          <t>State-of-the-art agentic coding; works in real repos end-to-end</t>
        </is>
      </c>
      <c r="I16" s="7" t="inlineStr">
        <is>
          <t>Terminal-first UX has a learning curve; token costs on API</t>
        </is>
      </c>
      <c r="J16" s="7" t="inlineStr">
        <is>
          <t>Professional developers and teams</t>
        </is>
      </c>
      <c r="K16" s="5" t="n">
        <v>10</v>
      </c>
      <c r="L16" s="5" t="n">
        <v>7</v>
      </c>
      <c r="M16" s="5" t="n">
        <v>10</v>
      </c>
      <c r="N16" s="5" t="n">
        <v>9</v>
      </c>
      <c r="O16" s="5" t="n">
        <v>1</v>
      </c>
    </row>
    <row r="17" ht="58" customHeight="1">
      <c r="A17" s="5">
        <f>IMAGE("https://www.google.com/s2/favicons?domain=cursor.com&amp;sz=64")</f>
        <v/>
      </c>
      <c r="B17" s="6" t="inlineStr">
        <is>
          <t>Cursor</t>
        </is>
      </c>
      <c r="C17" s="7" t="inlineStr">
        <is>
          <t>Freemium</t>
        </is>
      </c>
      <c r="D17" s="8" t="inlineStr">
        <is>
          <t>cursor.com</t>
        </is>
      </c>
      <c r="E17" s="7" t="inlineStr">
        <is>
          <t>AI-first VS Code fork with agent mode, tab completion and codebase chat</t>
        </is>
      </c>
      <c r="F17" s="7" t="inlineStr">
        <is>
          <t>Free tier; Pro $20/mo; Ultra $200/mo</t>
        </is>
      </c>
      <c r="G17" s="7" t="inlineStr">
        <is>
          <t>Yes — Claude models are first-class choices</t>
        </is>
      </c>
      <c r="H17" s="7" t="inlineStr">
        <is>
          <t>Polished IDE experience; great tab model; multi-model</t>
        </is>
      </c>
      <c r="I17" s="7" t="inlineStr">
        <is>
          <t>Pricing/limits change often; IDE lock-in</t>
        </is>
      </c>
      <c r="J17" s="7" t="inlineStr">
        <is>
          <t>Developers wanting AI deeply in the IDE</t>
        </is>
      </c>
      <c r="K17" s="5" t="n">
        <v>9</v>
      </c>
      <c r="L17" s="5" t="n">
        <v>7</v>
      </c>
      <c r="M17" s="5" t="n">
        <v>9</v>
      </c>
      <c r="N17" s="5" t="n">
        <v>8.300000000000001</v>
      </c>
      <c r="O17" s="5" t="n">
        <v>5</v>
      </c>
    </row>
    <row r="18" ht="58" customHeight="1">
      <c r="A18" s="5">
        <f>IMAGE("https://www.google.com/s2/favicons?domain=github.com&amp;sz=64")</f>
        <v/>
      </c>
      <c r="B18" s="6" t="inlineStr">
        <is>
          <t>GitHub Copilot</t>
        </is>
      </c>
      <c r="C18" s="7" t="inlineStr">
        <is>
          <t>Freemium</t>
        </is>
      </c>
      <c r="D18" s="8" t="inlineStr">
        <is>
          <t>github.com/features/copilot</t>
        </is>
      </c>
      <c r="E18" s="7" t="inlineStr">
        <is>
          <t>AI pair programmer in VS Code/JetBrains plus coding agent on GitHub</t>
        </is>
      </c>
      <c r="F18" s="7" t="inlineStr">
        <is>
          <t>Free tier; Pro $10/mo; Pro+ $39/mo</t>
        </is>
      </c>
      <c r="G18" s="7" t="inlineStr">
        <is>
          <t>Yes — Claude Sonnet/Opus selectable models</t>
        </is>
      </c>
      <c r="H18" s="7" t="inlineStr">
        <is>
          <t>Cheap; ubiquitous IDE support; GitHub-native agent</t>
        </is>
      </c>
      <c r="I18" s="7" t="inlineStr">
        <is>
          <t>Agent less capable than dedicated tools; tied to GitHub</t>
        </is>
      </c>
      <c r="J18" s="7" t="inlineStr">
        <is>
          <t>Developers on GitHub wanting low-cost AI</t>
        </is>
      </c>
      <c r="K18" s="5" t="n">
        <v>9</v>
      </c>
      <c r="L18" s="5" t="n">
        <v>9</v>
      </c>
      <c r="M18" s="5" t="n">
        <v>8</v>
      </c>
      <c r="N18" s="5" t="n">
        <v>8.699999999999999</v>
      </c>
      <c r="O18" s="5" t="n">
        <v>2</v>
      </c>
    </row>
    <row r="19" ht="58" customHeight="1">
      <c r="A19" s="5">
        <f>IMAGE("https://www.google.com/s2/favicons?domain=windsurf.com&amp;sz=64")</f>
        <v/>
      </c>
      <c r="B19" s="6" t="inlineStr">
        <is>
          <t>Windsurf</t>
        </is>
      </c>
      <c r="C19" s="7" t="inlineStr">
        <is>
          <t>Freemium</t>
        </is>
      </c>
      <c r="D19" s="8" t="inlineStr">
        <is>
          <t>windsurf.com</t>
        </is>
      </c>
      <c r="E19" s="7" t="inlineStr">
        <is>
          <t>Agentic AI IDE (Cascade) with deep codebase awareness</t>
        </is>
      </c>
      <c r="F19" s="7" t="inlineStr">
        <is>
          <t>Free tier; Pro $15/mo</t>
        </is>
      </c>
      <c r="G19" s="7" t="inlineStr">
        <is>
          <t>Yes — Claude models available</t>
        </is>
      </c>
      <c r="H19" s="7" t="inlineStr">
        <is>
          <t>Strong agent flows; cheaper than Cursor</t>
        </is>
      </c>
      <c r="I19" s="7" t="inlineStr">
        <is>
          <t>Smaller ecosystem; ownership changes caused churn</t>
        </is>
      </c>
      <c r="J19" s="7" t="inlineStr">
        <is>
          <t>Developers wanting an agentic IDE on a budget</t>
        </is>
      </c>
      <c r="K19" s="5" t="n">
        <v>8</v>
      </c>
      <c r="L19" s="5" t="n">
        <v>8</v>
      </c>
      <c r="M19" s="5" t="n">
        <v>8</v>
      </c>
      <c r="N19" s="5" t="n">
        <v>8</v>
      </c>
      <c r="O19" s="5" t="n">
        <v>8</v>
      </c>
    </row>
    <row r="20" ht="58" customHeight="1">
      <c r="A20" s="5">
        <f>IMAGE("https://www.google.com/s2/favicons?domain=replit.com&amp;sz=64")</f>
        <v/>
      </c>
      <c r="B20" s="6" t="inlineStr">
        <is>
          <t>Replit</t>
        </is>
      </c>
      <c r="C20" s="7" t="inlineStr">
        <is>
          <t>Freemium</t>
        </is>
      </c>
      <c r="D20" s="8" t="inlineStr">
        <is>
          <t>replit.com</t>
        </is>
      </c>
      <c r="E20" s="7" t="inlineStr">
        <is>
          <t>Browser IDE with Replit Agent that builds and deploys full apps from prompts</t>
        </is>
      </c>
      <c r="F20" s="7" t="inlineStr">
        <is>
          <t>Free; Core $25/mo + usage</t>
        </is>
      </c>
      <c r="G20" s="7" t="inlineStr">
        <is>
          <t>Yes — Agent is powered by Claude models</t>
        </is>
      </c>
      <c r="H20" s="7" t="inlineStr">
        <is>
          <t>Idea-to-deployed-app in one place; zero setup</t>
        </is>
      </c>
      <c r="I20" s="7" t="inlineStr">
        <is>
          <t>Usage costs balloon on big builds; platform lock-in</t>
        </is>
      </c>
      <c r="J20" s="7" t="inlineStr">
        <is>
          <t>Non-experts and rapid prototypers</t>
        </is>
      </c>
      <c r="K20" s="5" t="n">
        <v>8</v>
      </c>
      <c r="L20" s="5" t="n">
        <v>6</v>
      </c>
      <c r="M20" s="5" t="n">
        <v>8</v>
      </c>
      <c r="N20" s="5" t="n">
        <v>7.3</v>
      </c>
      <c r="O20" s="5" t="n">
        <v>10</v>
      </c>
    </row>
    <row r="21" ht="58" customHeight="1">
      <c r="A21" s="5">
        <f>IMAGE("https://www.google.com/s2/favicons?domain=lovable.dev&amp;sz=64")</f>
        <v/>
      </c>
      <c r="B21" s="6" t="inlineStr">
        <is>
          <t>Lovable</t>
        </is>
      </c>
      <c r="C21" s="7" t="inlineStr">
        <is>
          <t>Paid</t>
        </is>
      </c>
      <c r="D21" s="8" t="inlineStr">
        <is>
          <t>lovable.dev</t>
        </is>
      </c>
      <c r="E21" s="7" t="inlineStr">
        <is>
          <t>Prompt-to-full-stack web app builder (React + Supabase)</t>
        </is>
      </c>
      <c r="F21" s="7" t="inlineStr">
        <is>
          <t>From $25/mo + credits</t>
        </is>
      </c>
      <c r="G21" s="7" t="inlineStr">
        <is>
          <t>Yes — built on Claude under the hood</t>
        </is>
      </c>
      <c r="H21" s="7" t="inlineStr">
        <is>
          <t>Fastest way to working web apps; clean code export</t>
        </is>
      </c>
      <c r="I21" s="7" t="inlineStr">
        <is>
          <t>Credit burn on iterations; web apps only</t>
        </is>
      </c>
      <c r="J21" s="7" t="inlineStr">
        <is>
          <t>Founders and marketers shipping MVPs</t>
        </is>
      </c>
      <c r="K21" s="5" t="n">
        <v>7</v>
      </c>
      <c r="L21" s="5" t="n">
        <v>6</v>
      </c>
      <c r="M21" s="5" t="n">
        <v>8</v>
      </c>
      <c r="N21" s="5" t="n">
        <v>7</v>
      </c>
      <c r="O21" s="5" t="n">
        <v>11</v>
      </c>
    </row>
    <row r="22" ht="58" customHeight="1">
      <c r="A22" s="5">
        <f>IMAGE("https://www.google.com/s2/favicons?domain=bolt.new&amp;sz=64")</f>
        <v/>
      </c>
      <c r="B22" s="6" t="inlineStr">
        <is>
          <t>Bolt.new</t>
        </is>
      </c>
      <c r="C22" s="7" t="inlineStr">
        <is>
          <t>Freemium</t>
        </is>
      </c>
      <c r="D22" s="8" t="inlineStr">
        <is>
          <t>bolt.new</t>
        </is>
      </c>
      <c r="E22" s="7" t="inlineStr">
        <is>
          <t>StackBlitz's in-browser AI app builder with instant preview/deploy</t>
        </is>
      </c>
      <c r="F22" s="7" t="inlineStr">
        <is>
          <t>Free tier; from $20/mo + tokens</t>
        </is>
      </c>
      <c r="G22" s="7" t="inlineStr">
        <is>
          <t>Yes — Claude-powered generation</t>
        </is>
      </c>
      <c r="H22" s="7" t="inlineStr">
        <is>
          <t>Instant in-browser full-stack; open-source core</t>
        </is>
      </c>
      <c r="I22" s="7" t="inlineStr">
        <is>
          <t>Token-hungry; complex apps hit limits</t>
        </is>
      </c>
      <c r="J22" s="7" t="inlineStr">
        <is>
          <t>Rapid prototyping of web apps</t>
        </is>
      </c>
      <c r="K22" s="5" t="n">
        <v>7</v>
      </c>
      <c r="L22" s="5" t="n">
        <v>7</v>
      </c>
      <c r="M22" s="5" t="n">
        <v>7</v>
      </c>
      <c r="N22" s="5" t="n">
        <v>7</v>
      </c>
      <c r="O22" s="5" t="n">
        <v>12</v>
      </c>
    </row>
    <row r="23" ht="58" customHeight="1">
      <c r="A23" s="5">
        <f>IMAGE("https://www.google.com/s2/favicons?domain=v0.dev&amp;sz=64")</f>
        <v/>
      </c>
      <c r="B23" s="6" t="inlineStr">
        <is>
          <t>v0 by Vercel</t>
        </is>
      </c>
      <c r="C23" s="7" t="inlineStr">
        <is>
          <t>Freemium</t>
        </is>
      </c>
      <c r="D23" s="8" t="inlineStr">
        <is>
          <t>v0.dev</t>
        </is>
      </c>
      <c r="E23" s="7" t="inlineStr">
        <is>
          <t>Generative UI/app builder producing React/Next.js + shadcn code</t>
        </is>
      </c>
      <c r="F23" s="7" t="inlineStr">
        <is>
          <t>Free tier; Premium $20/mo</t>
        </is>
      </c>
      <c r="G23" s="7" t="inlineStr">
        <is>
          <t>No — uses Vercel's own model stack</t>
        </is>
      </c>
      <c r="H23" s="7" t="inlineStr">
        <is>
          <t>Best-in-class UI generation; Vercel deploy path</t>
        </is>
      </c>
      <c r="I23" s="7" t="inlineStr">
        <is>
          <t>Frontend/Next.js-centric</t>
        </is>
      </c>
      <c r="J23" s="7" t="inlineStr">
        <is>
          <t>Frontend devs and designers on Vercel</t>
        </is>
      </c>
      <c r="K23" s="5" t="n">
        <v>6</v>
      </c>
      <c r="L23" s="5" t="n">
        <v>7</v>
      </c>
      <c r="M23" s="5" t="n">
        <v>8</v>
      </c>
      <c r="N23" s="5" t="n">
        <v>7</v>
      </c>
      <c r="O23" s="5" t="n">
        <v>13</v>
      </c>
    </row>
    <row r="24" ht="58" customHeight="1">
      <c r="A24" s="5">
        <f>IMAGE("https://www.google.com/s2/favicons?domain=tabnine.com&amp;sz=64")</f>
        <v/>
      </c>
      <c r="B24" s="6" t="inlineStr">
        <is>
          <t>Tabnine</t>
        </is>
      </c>
      <c r="C24" s="7" t="inlineStr">
        <is>
          <t>Paid</t>
        </is>
      </c>
      <c r="D24" s="8" t="inlineStr">
        <is>
          <t>tabnine.com</t>
        </is>
      </c>
      <c r="E24" s="7" t="inlineStr">
        <is>
          <t>Privacy-focused enterprise code completion; self-host options</t>
        </is>
      </c>
      <c r="F24" s="7" t="inlineStr">
        <is>
          <t>Dev $9/mo; Enterprise $39/user/mo</t>
        </is>
      </c>
      <c r="G24" s="7" t="inlineStr">
        <is>
          <t>Yes — Claude among selectable chat models</t>
        </is>
      </c>
      <c r="H24" s="7" t="inlineStr">
        <is>
          <t>Strong privacy/compliance story; air-gapped option</t>
        </is>
      </c>
      <c r="I24" s="7" t="inlineStr">
        <is>
          <t>Completions trail frontier rivals</t>
        </is>
      </c>
      <c r="J24" s="7" t="inlineStr">
        <is>
          <t>Regulated enterprises</t>
        </is>
      </c>
      <c r="K24" s="5" t="n">
        <v>7</v>
      </c>
      <c r="L24" s="5" t="n">
        <v>7</v>
      </c>
      <c r="M24" s="5" t="n">
        <v>6</v>
      </c>
      <c r="N24" s="5" t="n">
        <v>6.7</v>
      </c>
      <c r="O24" s="5" t="n">
        <v>16</v>
      </c>
    </row>
    <row r="25" ht="58" customHeight="1">
      <c r="A25" s="5">
        <f>IMAGE("https://www.google.com/s2/favicons?domain=qodo.ai&amp;sz=64")</f>
        <v/>
      </c>
      <c r="B25" s="6" t="inlineStr">
        <is>
          <t>Qodo</t>
        </is>
      </c>
      <c r="C25" s="7" t="inlineStr">
        <is>
          <t>Freemium</t>
        </is>
      </c>
      <c r="D25" s="8" t="inlineStr">
        <is>
          <t>qodo.ai</t>
        </is>
      </c>
      <c r="E25" s="7" t="inlineStr">
        <is>
          <t>AI code review, test generation and PR agents (formerly Codium)</t>
        </is>
      </c>
      <c r="F25" s="7" t="inlineStr">
        <is>
          <t>Free; Teams $30/user/mo</t>
        </is>
      </c>
      <c r="G25" s="7" t="inlineStr">
        <is>
          <t>Yes — Claude models supported</t>
        </is>
      </c>
      <c r="H25" s="7" t="inlineStr">
        <is>
          <t>Excellent PR review/test focus; quality-first</t>
        </is>
      </c>
      <c r="I25" s="7" t="inlineStr">
        <is>
          <t>Narrower than full coding agents</t>
        </is>
      </c>
      <c r="J25" s="7" t="inlineStr">
        <is>
          <t>Teams improving code review &amp; test coverage</t>
        </is>
      </c>
      <c r="K25" s="5" t="n">
        <v>7</v>
      </c>
      <c r="L25" s="5" t="n">
        <v>7</v>
      </c>
      <c r="M25" s="5" t="n">
        <v>7</v>
      </c>
      <c r="N25" s="5" t="n">
        <v>7</v>
      </c>
      <c r="O25" s="5" t="n">
        <v>14</v>
      </c>
    </row>
    <row r="26" ht="58" customHeight="1">
      <c r="A26" s="5">
        <f>IMAGE("https://www.google.com/s2/favicons?domain=askcodi.com&amp;sz=64")</f>
        <v/>
      </c>
      <c r="B26" s="6" t="inlineStr">
        <is>
          <t>AskCodi</t>
        </is>
      </c>
      <c r="C26" s="7" t="inlineStr">
        <is>
          <t>Freemium</t>
        </is>
      </c>
      <c r="D26" s="8" t="inlineStr">
        <is>
          <t>askcodi.com</t>
        </is>
      </c>
      <c r="E26" s="7" t="inlineStr">
        <is>
          <t>Budget AI coding assistant: completion, chat, translation in IDEs</t>
        </is>
      </c>
      <c r="F26" s="7" t="inlineStr">
        <is>
          <t>Free; Premium from $15/mo</t>
        </is>
      </c>
      <c r="G26" s="7" t="inlineStr">
        <is>
          <t>Partial — multi-model via providers</t>
        </is>
      </c>
      <c r="H26" s="7" t="inlineStr">
        <is>
          <t>Cheap; broad language support</t>
        </is>
      </c>
      <c r="I26" s="7" t="inlineStr">
        <is>
          <t>Far less capable than leaders</t>
        </is>
      </c>
      <c r="J26" s="7" t="inlineStr">
        <is>
          <t>Students and hobbyists</t>
        </is>
      </c>
      <c r="K26" s="5" t="n">
        <v>4</v>
      </c>
      <c r="L26" s="5" t="n">
        <v>8</v>
      </c>
      <c r="M26" s="5" t="n">
        <v>5</v>
      </c>
      <c r="N26" s="5" t="n">
        <v>5.7</v>
      </c>
      <c r="O26" s="5" t="n">
        <v>17</v>
      </c>
    </row>
    <row r="27" ht="58" customHeight="1">
      <c r="A27" s="5">
        <f>IMAGE("https://www.google.com/s2/favicons?domain=codiga.io&amp;sz=64")</f>
        <v/>
      </c>
      <c r="B27" s="6" t="inlineStr">
        <is>
          <t>Codiga</t>
        </is>
      </c>
      <c r="C27" s="7" t="inlineStr">
        <is>
          <t>Paid</t>
        </is>
      </c>
      <c r="D27" s="8" t="inlineStr">
        <is>
          <t>codiga.io</t>
        </is>
      </c>
      <c r="E27" s="7" t="inlineStr">
        <is>
          <t>Static analysis + code snippets (acquired by Datadog; sunset as standalone)</t>
        </is>
      </c>
      <c r="F27" s="7" t="inlineStr">
        <is>
          <t>Discontinued — folded into Datadog Code Analysis</t>
        </is>
      </c>
      <c r="G27" s="7" t="inlineStr">
        <is>
          <t>No</t>
        </is>
      </c>
      <c r="H27" s="7" t="inlineStr">
        <is>
          <t>Was good at custom rules</t>
        </is>
      </c>
      <c r="I27" s="7" t="inlineStr">
        <is>
          <t>Product discontinued — use Datadog or alternatives</t>
        </is>
      </c>
      <c r="J27" s="7" t="inlineStr">
        <is>
          <t>(Legacy) Datadog customers</t>
        </is>
      </c>
      <c r="K27" s="5" t="n">
        <v>2</v>
      </c>
      <c r="L27" s="5" t="n">
        <v>3</v>
      </c>
      <c r="M27" s="5" t="n">
        <v>3</v>
      </c>
      <c r="N27" s="5" t="n">
        <v>2.7</v>
      </c>
      <c r="O27" s="5" t="n">
        <v>18</v>
      </c>
    </row>
    <row r="28" ht="58" customHeight="1">
      <c r="A28" s="9">
        <f>IMAGE("https://www.google.com/s2/favicons?domain=github.com&amp;sz=64")</f>
        <v/>
      </c>
      <c r="B28" s="10" t="inlineStr">
        <is>
          <t>Aider</t>
        </is>
      </c>
      <c r="C28" s="11" t="inlineStr">
        <is>
          <t>Open source (GitHub)</t>
        </is>
      </c>
      <c r="D28" s="12" t="inlineStr">
        <is>
          <t>github.com/Aider-AI/aider</t>
        </is>
      </c>
      <c r="E28" s="11" t="inlineStr">
        <is>
          <t>Terminal pair-programming agent that edits your git repo</t>
        </is>
      </c>
      <c r="F28" s="11" t="inlineStr">
        <is>
          <t>Free + your API costs</t>
        </is>
      </c>
      <c r="G28" s="11" t="inlineStr">
        <is>
          <t>Yes — works great with Claude API</t>
        </is>
      </c>
      <c r="H28" s="11" t="inlineStr">
        <is>
          <t>Free, scriptable, git-native; model-agnostic</t>
        </is>
      </c>
      <c r="I28" s="11" t="inlineStr">
        <is>
          <t>No GUI; you manage API keys/costs</t>
        </is>
      </c>
      <c r="J28" s="11" t="inlineStr">
        <is>
          <t>CLI-comfortable devs wanting a free Claude Code-style tool</t>
        </is>
      </c>
      <c r="K28" s="9" t="n">
        <v>9</v>
      </c>
      <c r="L28" s="9" t="n">
        <v>9</v>
      </c>
      <c r="M28" s="9" t="n">
        <v>8</v>
      </c>
      <c r="N28" s="9" t="n">
        <v>8.699999999999999</v>
      </c>
      <c r="O28" s="9" t="n">
        <v>3</v>
      </c>
    </row>
    <row r="29" ht="58" customHeight="1">
      <c r="A29" s="9">
        <f>IMAGE("https://www.google.com/s2/favicons?domain=github.com&amp;sz=64")</f>
        <v/>
      </c>
      <c r="B29" s="10" t="inlineStr">
        <is>
          <t>Cline</t>
        </is>
      </c>
      <c r="C29" s="11" t="inlineStr">
        <is>
          <t>Open source (GitHub)</t>
        </is>
      </c>
      <c r="D29" s="12" t="inlineStr">
        <is>
          <t>github.com/cline/cline</t>
        </is>
      </c>
      <c r="E29" s="11" t="inlineStr">
        <is>
          <t>Autonomous coding agent extension for VS Code (plan/act, MCP)</t>
        </is>
      </c>
      <c r="F29" s="11" t="inlineStr">
        <is>
          <t>Free + API costs</t>
        </is>
      </c>
      <c r="G29" s="11" t="inlineStr">
        <is>
          <t>Yes — Claude is the recommended model; MCP support</t>
        </is>
      </c>
      <c r="H29" s="11" t="inlineStr">
        <is>
          <t>Free agentic coding in VS Code; transparent diffs</t>
        </is>
      </c>
      <c r="I29" s="11" t="inlineStr">
        <is>
          <t>API costs add up; needs supervision</t>
        </is>
      </c>
      <c r="J29" s="11" t="inlineStr">
        <is>
          <t>Developers wanting a free Cursor-agent alternative</t>
        </is>
      </c>
      <c r="K29" s="9" t="n">
        <v>9</v>
      </c>
      <c r="L29" s="9" t="n">
        <v>9</v>
      </c>
      <c r="M29" s="9" t="n">
        <v>8</v>
      </c>
      <c r="N29" s="9" t="n">
        <v>8.699999999999999</v>
      </c>
      <c r="O29" s="9" t="n">
        <v>4</v>
      </c>
    </row>
    <row r="30" ht="58" customHeight="1">
      <c r="A30" s="9">
        <f>IMAGE("https://www.google.com/s2/favicons?domain=github.com&amp;sz=64")</f>
        <v/>
      </c>
      <c r="B30" s="10" t="inlineStr">
        <is>
          <t>Roo Code</t>
        </is>
      </c>
      <c r="C30" s="11" t="inlineStr">
        <is>
          <t>Open source (GitHub)</t>
        </is>
      </c>
      <c r="D30" s="12" t="inlineStr">
        <is>
          <t>github.com/RooCodeInc/Roo-Code</t>
        </is>
      </c>
      <c r="E30" s="11" t="inlineStr">
        <is>
          <t>Cline fork with modes, profiles and more team controls</t>
        </is>
      </c>
      <c r="F30" s="11" t="inlineStr">
        <is>
          <t>Free + API costs</t>
        </is>
      </c>
      <c r="G30" s="11" t="inlineStr">
        <is>
          <t>Yes — Claude models fully supported</t>
        </is>
      </c>
      <c r="H30" s="11" t="inlineStr">
        <is>
          <t>Highly configurable agent modes</t>
        </is>
      </c>
      <c r="I30" s="11" t="inlineStr">
        <is>
          <t>Same API-cost caveats; fast-moving project</t>
        </is>
      </c>
      <c r="J30" s="11" t="inlineStr">
        <is>
          <t>Power users of VS Code agents</t>
        </is>
      </c>
      <c r="K30" s="9" t="n">
        <v>8</v>
      </c>
      <c r="L30" s="9" t="n">
        <v>9</v>
      </c>
      <c r="M30" s="9" t="n">
        <v>8</v>
      </c>
      <c r="N30" s="9" t="n">
        <v>8.300000000000001</v>
      </c>
      <c r="O30" s="9" t="n">
        <v>6</v>
      </c>
    </row>
    <row r="31" ht="58" customHeight="1">
      <c r="A31" s="9">
        <f>IMAGE("https://www.google.com/s2/favicons?domain=github.com&amp;sz=64")</f>
        <v/>
      </c>
      <c r="B31" s="10" t="inlineStr">
        <is>
          <t>Continue</t>
        </is>
      </c>
      <c r="C31" s="11" t="inlineStr">
        <is>
          <t>Open source (GitHub)</t>
        </is>
      </c>
      <c r="D31" s="12" t="inlineStr">
        <is>
          <t>github.com/continuedev/continue</t>
        </is>
      </c>
      <c r="E31" s="11" t="inlineStr">
        <is>
          <t>Open-source AI assistant for VS Code/JetBrains; custom models &amp; rules</t>
        </is>
      </c>
      <c r="F31" s="11" t="inlineStr">
        <is>
          <t>Free; Teams hub plans</t>
        </is>
      </c>
      <c r="G31" s="11" t="inlineStr">
        <is>
          <t>Yes — Anthropic provider built in</t>
        </is>
      </c>
      <c r="H31" s="11" t="inlineStr">
        <is>
          <t>IDE-agnostic; team-shareable assistants</t>
        </is>
      </c>
      <c r="I31" s="11" t="inlineStr">
        <is>
          <t>Less agentic than Cline/Cursor</t>
        </is>
      </c>
      <c r="J31" s="11" t="inlineStr">
        <is>
          <t>Teams standardising AI across IDEs</t>
        </is>
      </c>
      <c r="K31" s="9" t="n">
        <v>8</v>
      </c>
      <c r="L31" s="9" t="n">
        <v>9</v>
      </c>
      <c r="M31" s="9" t="n">
        <v>7</v>
      </c>
      <c r="N31" s="9" t="n">
        <v>8</v>
      </c>
      <c r="O31" s="9" t="n">
        <v>9</v>
      </c>
    </row>
    <row r="32" ht="58" customHeight="1">
      <c r="A32" s="9">
        <f>IMAGE("https://www.google.com/s2/favicons?domain=github.com&amp;sz=64")</f>
        <v/>
      </c>
      <c r="B32" s="10" t="inlineStr">
        <is>
          <t>OpenHands</t>
        </is>
      </c>
      <c r="C32" s="11" t="inlineStr">
        <is>
          <t>Open source (GitHub)</t>
        </is>
      </c>
      <c r="D32" s="12" t="inlineStr">
        <is>
          <t>github.com/All-Hands-AI/OpenHands</t>
        </is>
      </c>
      <c r="E32" s="11" t="inlineStr">
        <is>
          <t>Autonomous software-engineering agent platform (ex-OpenDevin)</t>
        </is>
      </c>
      <c r="F32" s="11" t="inlineStr">
        <is>
          <t>Free self-host; cloud from $20</t>
        </is>
      </c>
      <c r="G32" s="11" t="inlineStr">
        <is>
          <t>Yes — Claude recommended driver model</t>
        </is>
      </c>
      <c r="H32" s="11" t="inlineStr">
        <is>
          <t>Full SWE agent: browse, code, run; research-grade</t>
        </is>
      </c>
      <c r="I32" s="11" t="inlineStr">
        <is>
          <t>Heavy setup; supervision needed</t>
        </is>
      </c>
      <c r="J32" s="11" t="inlineStr">
        <is>
          <t>Teams experimenting with autonomous dev agents</t>
        </is>
      </c>
      <c r="K32" s="9" t="n">
        <v>8</v>
      </c>
      <c r="L32" s="9" t="n">
        <v>9</v>
      </c>
      <c r="M32" s="9" t="n">
        <v>8</v>
      </c>
      <c r="N32" s="9" t="n">
        <v>8.300000000000001</v>
      </c>
      <c r="O32" s="9" t="n">
        <v>7</v>
      </c>
    </row>
    <row r="33" ht="58" customHeight="1">
      <c r="A33" s="9">
        <f>IMAGE("https://www.google.com/s2/favicons?domain=github.com&amp;sz=64")</f>
        <v/>
      </c>
      <c r="B33" s="10" t="inlineStr">
        <is>
          <t>Tabby</t>
        </is>
      </c>
      <c r="C33" s="11" t="inlineStr">
        <is>
          <t>Open source (GitHub)</t>
        </is>
      </c>
      <c r="D33" s="12" t="inlineStr">
        <is>
          <t>github.com/TabbyML/tabby</t>
        </is>
      </c>
      <c r="E33" s="11" t="inlineStr">
        <is>
          <t>Self-hosted AI code completion server (GPU) — OSS Copilot alternative</t>
        </is>
      </c>
      <c r="F33" s="11" t="inlineStr">
        <is>
          <t>Free (self-host)</t>
        </is>
      </c>
      <c r="G33" s="11" t="inlineStr">
        <is>
          <t>No — serves local models</t>
        </is>
      </c>
      <c r="H33" s="11" t="inlineStr">
        <is>
          <t>Fully private completions; team server</t>
        </is>
      </c>
      <c r="I33" s="11" t="inlineStr">
        <is>
          <t>Needs GPU; below frontier quality</t>
        </is>
      </c>
      <c r="J33" s="11" t="inlineStr">
        <is>
          <t>Enterprises needing on-prem completion</t>
        </is>
      </c>
      <c r="K33" s="9" t="n">
        <v>6</v>
      </c>
      <c r="L33" s="9" t="n">
        <v>9</v>
      </c>
      <c r="M33" s="9" t="n">
        <v>6</v>
      </c>
      <c r="N33" s="9" t="n">
        <v>7</v>
      </c>
      <c r="O33" s="9" t="n">
        <v>15</v>
      </c>
    </row>
    <row r="34" ht="22" customHeight="1">
      <c r="A34" s="4" t="inlineStr">
        <is>
          <t>AI Writing &amp; Grammar</t>
        </is>
      </c>
    </row>
    <row r="35" ht="58" customHeight="1">
      <c r="A35" s="5">
        <f>IMAGE("https://www.google.com/s2/favicons?domain=grammarly.com&amp;sz=64")</f>
        <v/>
      </c>
      <c r="B35" s="6" t="inlineStr">
        <is>
          <t>Grammarly</t>
        </is>
      </c>
      <c r="C35" s="7" t="inlineStr">
        <is>
          <t>Freemium</t>
        </is>
      </c>
      <c r="D35" s="8" t="inlineStr">
        <is>
          <t>grammarly.com</t>
        </is>
      </c>
      <c r="E35" s="7" t="inlineStr">
        <is>
          <t>Grammar, tone and AI writing assistance everywhere you type</t>
        </is>
      </c>
      <c r="F35" s="7" t="inlineStr">
        <is>
          <t>Free; Pro $12/mo</t>
        </is>
      </c>
      <c r="G35" s="7" t="inlineStr">
        <is>
          <t>No</t>
        </is>
      </c>
      <c r="H35" s="7" t="inlineStr">
        <is>
          <t>Works in every app; trusted; strong grammar engine</t>
        </is>
      </c>
      <c r="I35" s="7" t="inlineStr">
        <is>
          <t>AI features basic vs LLM chats; subscription creep</t>
        </is>
      </c>
      <c r="J35" s="7" t="inlineStr">
        <is>
          <t>Everyone writing professionally</t>
        </is>
      </c>
      <c r="K35" s="5" t="n">
        <v>8</v>
      </c>
      <c r="L35" s="5" t="n">
        <v>7</v>
      </c>
      <c r="M35" s="5" t="n">
        <v>8</v>
      </c>
      <c r="N35" s="5" t="n">
        <v>7.7</v>
      </c>
      <c r="O35" s="5" t="n">
        <v>1</v>
      </c>
    </row>
    <row r="36" ht="58" customHeight="1">
      <c r="A36" s="5">
        <f>IMAGE("https://www.google.com/s2/favicons?domain=quillbot.com&amp;sz=64")</f>
        <v/>
      </c>
      <c r="B36" s="6" t="inlineStr">
        <is>
          <t>QuillBot</t>
        </is>
      </c>
      <c r="C36" s="7" t="inlineStr">
        <is>
          <t>Freemium</t>
        </is>
      </c>
      <c r="D36" s="8" t="inlineStr">
        <is>
          <t>quillbot.com</t>
        </is>
      </c>
      <c r="E36" s="7" t="inlineStr">
        <is>
          <t>Paraphrasing, summarising, grammar and AI detection toolkit</t>
        </is>
      </c>
      <c r="F36" s="7" t="inlineStr">
        <is>
          <t>Free; Premium $9.95/mo</t>
        </is>
      </c>
      <c r="G36" s="7" t="inlineStr">
        <is>
          <t>No</t>
        </is>
      </c>
      <c r="H36" s="7" t="inlineStr">
        <is>
          <t>Best-known paraphraser; cheap; good summaries</t>
        </is>
      </c>
      <c r="I36" s="7" t="inlineStr">
        <is>
          <t>Can produce formulaic text</t>
        </is>
      </c>
      <c r="J36" s="7" t="inlineStr">
        <is>
          <t>Students and ESL writers</t>
        </is>
      </c>
      <c r="K36" s="5" t="n">
        <v>6</v>
      </c>
      <c r="L36" s="5" t="n">
        <v>8</v>
      </c>
      <c r="M36" s="5" t="n">
        <v>7</v>
      </c>
      <c r="N36" s="5" t="n">
        <v>7</v>
      </c>
      <c r="O36" s="5" t="n">
        <v>3</v>
      </c>
    </row>
    <row r="37" ht="58" customHeight="1">
      <c r="A37" s="5">
        <f>IMAGE("https://www.google.com/s2/favicons?domain=jasper.ai&amp;sz=64")</f>
        <v/>
      </c>
      <c r="B37" s="6" t="inlineStr">
        <is>
          <t>Jasper</t>
        </is>
      </c>
      <c r="C37" s="7" t="inlineStr">
        <is>
          <t>Paid</t>
        </is>
      </c>
      <c r="D37" s="8" t="inlineStr">
        <is>
          <t>jasper.ai</t>
        </is>
      </c>
      <c r="E37" s="7" t="inlineStr">
        <is>
          <t>Marketing-focused AI writing platform with brand voice and campaigns</t>
        </is>
      </c>
      <c r="F37" s="7" t="inlineStr">
        <is>
          <t>Creator $39/mo; Pro $59/mo</t>
        </is>
      </c>
      <c r="G37" s="7" t="inlineStr">
        <is>
          <t>Yes — uses Anthropic models among its engine mix</t>
        </is>
      </c>
      <c r="H37" s="7" t="inlineStr">
        <is>
          <t>Strong brand-voice controls; marketing templates</t>
        </is>
      </c>
      <c r="I37" s="7" t="inlineStr">
        <is>
          <t>Expensive vs raw chatbots</t>
        </is>
      </c>
      <c r="J37" s="7" t="inlineStr">
        <is>
          <t>Marketing teams at scale</t>
        </is>
      </c>
      <c r="K37" s="5" t="n">
        <v>7</v>
      </c>
      <c r="L37" s="5" t="n">
        <v>5</v>
      </c>
      <c r="M37" s="5" t="n">
        <v>8</v>
      </c>
      <c r="N37" s="5" t="n">
        <v>6.7</v>
      </c>
      <c r="O37" s="5" t="n">
        <v>4</v>
      </c>
    </row>
    <row r="38" ht="58" customHeight="1">
      <c r="A38" s="5">
        <f>IMAGE("https://www.google.com/s2/favicons?domain=copy.ai&amp;sz=64")</f>
        <v/>
      </c>
      <c r="B38" s="6" t="inlineStr">
        <is>
          <t>Copy.ai</t>
        </is>
      </c>
      <c r="C38" s="7" t="inlineStr">
        <is>
          <t>Freemium</t>
        </is>
      </c>
      <c r="D38" s="8" t="inlineStr">
        <is>
          <t>copy.ai</t>
        </is>
      </c>
      <c r="E38" s="7" t="inlineStr">
        <is>
          <t>GTM-focused AI for copy plus sales/marketing workflow automation</t>
        </is>
      </c>
      <c r="F38" s="7" t="inlineStr">
        <is>
          <t>Free; Starter $49/mo</t>
        </is>
      </c>
      <c r="G38" s="7" t="inlineStr">
        <is>
          <t>Yes — Claude among selectable models</t>
        </is>
      </c>
      <c r="H38" s="7" t="inlineStr">
        <is>
          <t>Workflow automation beyond copy; multi-model</t>
        </is>
      </c>
      <c r="I38" s="7" t="inlineStr">
        <is>
          <t>Pivoted upmarket; copy features now secondary</t>
        </is>
      </c>
      <c r="J38" s="7" t="inlineStr">
        <is>
          <t>Sales/marketing ops teams</t>
        </is>
      </c>
      <c r="K38" s="5" t="n">
        <v>7</v>
      </c>
      <c r="L38" s="5" t="n">
        <v>6</v>
      </c>
      <c r="M38" s="5" t="n">
        <v>7</v>
      </c>
      <c r="N38" s="5" t="n">
        <v>6.7</v>
      </c>
      <c r="O38" s="5" t="n">
        <v>5</v>
      </c>
    </row>
    <row r="39" ht="58" customHeight="1">
      <c r="A39" s="5">
        <f>IMAGE("https://www.google.com/s2/favicons?domain=writesonic.com&amp;sz=64")</f>
        <v/>
      </c>
      <c r="B39" s="6" t="inlineStr">
        <is>
          <t>Writesonic</t>
        </is>
      </c>
      <c r="C39" s="7" t="inlineStr">
        <is>
          <t>Freemium</t>
        </is>
      </c>
      <c r="D39" s="8" t="inlineStr">
        <is>
          <t>writesonic.com</t>
        </is>
      </c>
      <c r="E39" s="7" t="inlineStr">
        <is>
          <t>SEO-aware AI article writing and marketing content suite</t>
        </is>
      </c>
      <c r="F39" s="7" t="inlineStr">
        <is>
          <t>Free trial; from $39/mo</t>
        </is>
      </c>
      <c r="G39" s="7" t="inlineStr">
        <is>
          <t>Yes — multi-model incl. Claude</t>
        </is>
      </c>
      <c r="H39" s="7" t="inlineStr">
        <is>
          <t>SEO research baked in; article quality decent</t>
        </is>
      </c>
      <c r="I39" s="7" t="inlineStr">
        <is>
          <t>Credit limits; busy UI</t>
        </is>
      </c>
      <c r="J39" s="7" t="inlineStr">
        <is>
          <t>SEO content teams</t>
        </is>
      </c>
      <c r="K39" s="5" t="n">
        <v>6</v>
      </c>
      <c r="L39" s="5" t="n">
        <v>6</v>
      </c>
      <c r="M39" s="5" t="n">
        <v>7</v>
      </c>
      <c r="N39" s="5" t="n">
        <v>6.3</v>
      </c>
      <c r="O39" s="5" t="n">
        <v>8</v>
      </c>
    </row>
    <row r="40" ht="58" customHeight="1">
      <c r="A40" s="5">
        <f>IMAGE("https://www.google.com/s2/favicons?domain=rytr.me&amp;sz=64")</f>
        <v/>
      </c>
      <c r="B40" s="6" t="inlineStr">
        <is>
          <t>Rytr</t>
        </is>
      </c>
      <c r="C40" s="7" t="inlineStr">
        <is>
          <t>Freemium</t>
        </is>
      </c>
      <c r="D40" s="8" t="inlineStr">
        <is>
          <t>rytr.me</t>
        </is>
      </c>
      <c r="E40" s="7" t="inlineStr">
        <is>
          <t>Budget short-form AI copywriting in 40+ use cases</t>
        </is>
      </c>
      <c r="F40" s="7" t="inlineStr">
        <is>
          <t>Free; Unlimited $9/mo</t>
        </is>
      </c>
      <c r="G40" s="7" t="inlineStr">
        <is>
          <t>No</t>
        </is>
      </c>
      <c r="H40" s="7" t="inlineStr">
        <is>
          <t>Very cheap; simple</t>
        </is>
      </c>
      <c r="I40" s="7" t="inlineStr">
        <is>
          <t>Short-form only; dated model quality</t>
        </is>
      </c>
      <c r="J40" s="7" t="inlineStr">
        <is>
          <t>Solopreneurs on a budget</t>
        </is>
      </c>
      <c r="K40" s="5" t="n">
        <v>4</v>
      </c>
      <c r="L40" s="5" t="n">
        <v>9</v>
      </c>
      <c r="M40" s="5" t="n">
        <v>5</v>
      </c>
      <c r="N40" s="5" t="n">
        <v>6</v>
      </c>
      <c r="O40" s="5" t="n">
        <v>9</v>
      </c>
    </row>
    <row r="41" ht="58" customHeight="1">
      <c r="A41" s="5">
        <f>IMAGE("https://www.google.com/s2/favicons?domain=sudowrite.com&amp;sz=64")</f>
        <v/>
      </c>
      <c r="B41" s="6" t="inlineStr">
        <is>
          <t>Sudowrite</t>
        </is>
      </c>
      <c r="C41" s="7" t="inlineStr">
        <is>
          <t>Paid</t>
        </is>
      </c>
      <c r="D41" s="8" t="inlineStr">
        <is>
          <t>sudowrite.com</t>
        </is>
      </c>
      <c r="E41" s="7" t="inlineStr">
        <is>
          <t>AI co-writer built specifically for fiction authors</t>
        </is>
      </c>
      <c r="F41" s="7" t="inlineStr">
        <is>
          <t>From $19/mo</t>
        </is>
      </c>
      <c r="G41" s="7" t="inlineStr">
        <is>
          <t>Yes — Claude models power much of it</t>
        </is>
      </c>
      <c r="H41" s="7" t="inlineStr">
        <is>
          <t>Purpose-built fiction tools (Story Engine)</t>
        </is>
      </c>
      <c r="I41" s="7" t="inlineStr">
        <is>
          <t>Niche; credits model</t>
        </is>
      </c>
      <c r="J41" s="7" t="inlineStr">
        <is>
          <t>Novelists and fiction writers</t>
        </is>
      </c>
      <c r="K41" s="5" t="n">
        <v>6</v>
      </c>
      <c r="L41" s="5" t="n">
        <v>6</v>
      </c>
      <c r="M41" s="5" t="n">
        <v>8</v>
      </c>
      <c r="N41" s="5" t="n">
        <v>6.7</v>
      </c>
      <c r="O41" s="5" t="n">
        <v>6</v>
      </c>
    </row>
    <row r="42" ht="58" customHeight="1">
      <c r="A42" s="5">
        <f>IMAGE("https://www.google.com/s2/favicons?domain=myjotbot.com&amp;sz=64")</f>
        <v/>
      </c>
      <c r="B42" s="6" t="inlineStr">
        <is>
          <t>JotBot</t>
        </is>
      </c>
      <c r="C42" s="7" t="inlineStr">
        <is>
          <t>Freemium</t>
        </is>
      </c>
      <c r="D42" s="8" t="inlineStr">
        <is>
          <t>myjotbot.com</t>
        </is>
      </c>
      <c r="E42" s="7" t="inlineStr">
        <is>
          <t>AI note-taking, drafting and citation tool for students</t>
        </is>
      </c>
      <c r="F42" s="7" t="inlineStr">
        <is>
          <t>Free; from $14/mo</t>
        </is>
      </c>
      <c r="G42" s="7" t="inlineStr">
        <is>
          <t>No</t>
        </is>
      </c>
      <c r="H42" s="7" t="inlineStr">
        <is>
          <t>Cites sources; academic focus</t>
        </is>
      </c>
      <c r="I42" s="7" t="inlineStr">
        <is>
          <t>Niche; quality varies</t>
        </is>
      </c>
      <c r="J42" s="7" t="inlineStr">
        <is>
          <t>Students writing papers</t>
        </is>
      </c>
      <c r="K42" s="5" t="n">
        <v>4</v>
      </c>
      <c r="L42" s="5" t="n">
        <v>7</v>
      </c>
      <c r="M42" s="5" t="n">
        <v>5</v>
      </c>
      <c r="N42" s="5" t="n">
        <v>5.3</v>
      </c>
      <c r="O42" s="5" t="n">
        <v>10</v>
      </c>
    </row>
    <row r="43" ht="58" customHeight="1">
      <c r="A43" s="5">
        <f>IMAGE("https://www.google.com/s2/favicons?domain=quarkle.ai&amp;sz=64")</f>
        <v/>
      </c>
      <c r="B43" s="6" t="inlineStr">
        <is>
          <t>Quarkle</t>
        </is>
      </c>
      <c r="C43" s="7" t="inlineStr">
        <is>
          <t>Freemium</t>
        </is>
      </c>
      <c r="D43" s="8" t="inlineStr">
        <is>
          <t>quarkle.ai</t>
        </is>
      </c>
      <c r="E43" s="7" t="inlineStr">
        <is>
          <t>AI developmental editor for long-form and fiction writers</t>
        </is>
      </c>
      <c r="F43" s="7" t="inlineStr">
        <is>
          <t>Free; ~$12/mo</t>
        </is>
      </c>
      <c r="G43" s="7" t="inlineStr">
        <is>
          <t>No</t>
        </is>
      </c>
      <c r="H43" s="7" t="inlineStr">
        <is>
          <t>Editing-focused (not just generation)</t>
        </is>
      </c>
      <c r="I43" s="7" t="inlineStr">
        <is>
          <t>Small product; limited integrations</t>
        </is>
      </c>
      <c r="J43" s="7" t="inlineStr">
        <is>
          <t>Self-editing authors</t>
        </is>
      </c>
      <c r="K43" s="5" t="n">
        <v>4</v>
      </c>
      <c r="L43" s="5" t="n">
        <v>7</v>
      </c>
      <c r="M43" s="5" t="n">
        <v>5</v>
      </c>
      <c r="N43" s="5" t="n">
        <v>5.3</v>
      </c>
      <c r="O43" s="5" t="n">
        <v>11</v>
      </c>
    </row>
    <row r="44" ht="58" customHeight="1">
      <c r="A44" s="9">
        <f>IMAGE("https://www.google.com/s2/favicons?domain=github.com&amp;sz=64")</f>
        <v/>
      </c>
      <c r="B44" s="10" t="inlineStr">
        <is>
          <t>LanguageTool</t>
        </is>
      </c>
      <c r="C44" s="11" t="inlineStr">
        <is>
          <t>Open source (GitHub)</t>
        </is>
      </c>
      <c r="D44" s="12" t="inlineStr">
        <is>
          <t>github.com/languagetool-org/languagetool</t>
        </is>
      </c>
      <c r="E44" s="11" t="inlineStr">
        <is>
          <t>Open-source grammar/style checker, 30+ languages, self-hostable</t>
        </is>
      </c>
      <c r="F44" s="11" t="inlineStr">
        <is>
          <t>Free; Premium $5/mo; self-host free</t>
        </is>
      </c>
      <c r="G44" s="11" t="inlineStr">
        <is>
          <t>No</t>
        </is>
      </c>
      <c r="H44" s="11" t="inlineStr">
        <is>
          <t>Open source; multilingual; privacy via self-host</t>
        </is>
      </c>
      <c r="I44" s="11" t="inlineStr">
        <is>
          <t>Weaker than Grammarly for tone/AI rewrite</t>
        </is>
      </c>
      <c r="J44" s="11" t="inlineStr">
        <is>
          <t>Privacy-conscious and multilingual writers</t>
        </is>
      </c>
      <c r="K44" s="9" t="n">
        <v>6</v>
      </c>
      <c r="L44" s="9" t="n">
        <v>9</v>
      </c>
      <c r="M44" s="9" t="n">
        <v>7</v>
      </c>
      <c r="N44" s="9" t="n">
        <v>7.3</v>
      </c>
      <c r="O44" s="9" t="n">
        <v>2</v>
      </c>
    </row>
    <row r="45" ht="58" customHeight="1">
      <c r="A45" s="9">
        <f>IMAGE("https://www.google.com/s2/favicons?domain=github.com&amp;sz=64")</f>
        <v/>
      </c>
      <c r="B45" s="10" t="inlineStr">
        <is>
          <t>Harper</t>
        </is>
      </c>
      <c r="C45" s="11" t="inlineStr">
        <is>
          <t>Open source (GitHub)</t>
        </is>
      </c>
      <c r="D45" s="12" t="inlineStr">
        <is>
          <t>github.com/Automattic/harper</t>
        </is>
      </c>
      <c r="E45" s="11" t="inlineStr">
        <is>
          <t>Fast, private, local grammar checker (Rust) from Automattic</t>
        </is>
      </c>
      <c r="F45" s="11" t="inlineStr">
        <is>
          <t>Free</t>
        </is>
      </c>
      <c r="G45" s="11" t="inlineStr">
        <is>
          <t>No</t>
        </is>
      </c>
      <c r="H45" s="11" t="inlineStr">
        <is>
          <t>Instant, offline, no data leaves device</t>
        </is>
      </c>
      <c r="I45" s="11" t="inlineStr">
        <is>
          <t>English only; grammar only</t>
        </is>
      </c>
      <c r="J45" s="11" t="inlineStr">
        <is>
          <t>Developers and privacy-first writers</t>
        </is>
      </c>
      <c r="K45" s="9" t="n">
        <v>5</v>
      </c>
      <c r="L45" s="9" t="n">
        <v>10</v>
      </c>
      <c r="M45" s="9" t="n">
        <v>5</v>
      </c>
      <c r="N45" s="9" t="n">
        <v>6.7</v>
      </c>
      <c r="O45" s="9" t="n">
        <v>7</v>
      </c>
    </row>
    <row r="46" ht="22" customHeight="1">
      <c r="A46" s="4" t="inlineStr">
        <is>
          <t>AI Image Generation</t>
        </is>
      </c>
    </row>
    <row r="47" ht="58" customHeight="1">
      <c r="A47" s="5">
        <f>IMAGE("https://www.google.com/s2/favicons?domain=midjourney.com&amp;sz=64")</f>
        <v/>
      </c>
      <c r="B47" s="6" t="inlineStr">
        <is>
          <t>Midjourney</t>
        </is>
      </c>
      <c r="C47" s="7" t="inlineStr">
        <is>
          <t>Paid</t>
        </is>
      </c>
      <c r="D47" s="8" t="inlineStr">
        <is>
          <t>midjourney.com</t>
        </is>
      </c>
      <c r="E47" s="7" t="inlineStr">
        <is>
          <t>Leading artistic text-to-image generation (web + Discord)</t>
        </is>
      </c>
      <c r="F47" s="7" t="inlineStr">
        <is>
          <t>From $10/mo</t>
        </is>
      </c>
      <c r="G47" s="7" t="inlineStr">
        <is>
          <t>No</t>
        </is>
      </c>
      <c r="H47" s="7" t="inlineStr">
        <is>
          <t>Best aesthetic quality; strong community</t>
        </is>
      </c>
      <c r="I47" s="7" t="inlineStr">
        <is>
          <t>No free tier; weak API story</t>
        </is>
      </c>
      <c r="J47" s="7" t="inlineStr">
        <is>
          <t>Designers, artists, creatives</t>
        </is>
      </c>
      <c r="K47" s="5" t="n">
        <v>6</v>
      </c>
      <c r="L47" s="5" t="n">
        <v>6</v>
      </c>
      <c r="M47" s="5" t="n">
        <v>10</v>
      </c>
      <c r="N47" s="5" t="n">
        <v>7.3</v>
      </c>
      <c r="O47" s="5" t="n">
        <v>4</v>
      </c>
    </row>
    <row r="48" ht="58" customHeight="1">
      <c r="A48" s="5">
        <f>IMAGE("https://www.google.com/s2/favicons?domain=openai.com&amp;sz=64")</f>
        <v/>
      </c>
      <c r="B48" s="6" t="inlineStr">
        <is>
          <t>DALL-E / GPT Image</t>
        </is>
      </c>
      <c r="C48" s="7" t="inlineStr">
        <is>
          <t>Freemium</t>
        </is>
      </c>
      <c r="D48" s="8" t="inlineStr">
        <is>
          <t>openai.com/dall-e</t>
        </is>
      </c>
      <c r="E48" s="7" t="inlineStr">
        <is>
          <t>OpenAI image generation inside ChatGPT (4o image model)</t>
        </is>
      </c>
      <c r="F48" s="7" t="inlineStr">
        <is>
          <t>With ChatGPT Free/Plus $20/mo</t>
        </is>
      </c>
      <c r="G48" s="7" t="inlineStr">
        <is>
          <t>No</t>
        </is>
      </c>
      <c r="H48" s="7" t="inlineStr">
        <is>
          <t>Great instruction-following &amp; text rendering</t>
        </is>
      </c>
      <c r="I48" s="7" t="inlineStr">
        <is>
          <t>Tied to ChatGPT; style less artistic</t>
        </is>
      </c>
      <c r="J48" s="7" t="inlineStr">
        <is>
          <t>ChatGPT users needing quick images</t>
        </is>
      </c>
      <c r="K48" s="5" t="n">
        <v>6</v>
      </c>
      <c r="L48" s="5" t="n">
        <v>7</v>
      </c>
      <c r="M48" s="5" t="n">
        <v>8</v>
      </c>
      <c r="N48" s="5" t="n">
        <v>7</v>
      </c>
      <c r="O48" s="5" t="n">
        <v>7</v>
      </c>
    </row>
    <row r="49" ht="58" customHeight="1">
      <c r="A49" s="5">
        <f>IMAGE("https://www.google.com/s2/favicons?domain=adobe.com&amp;sz=64")</f>
        <v/>
      </c>
      <c r="B49" s="6" t="inlineStr">
        <is>
          <t>Adobe Firefly</t>
        </is>
      </c>
      <c r="C49" s="7" t="inlineStr">
        <is>
          <t>Freemium</t>
        </is>
      </c>
      <c r="D49" s="8" t="inlineStr">
        <is>
          <t>adobe.com/products/firefly</t>
        </is>
      </c>
      <c r="E49" s="7" t="inlineStr">
        <is>
          <t>Commercially-safe image gen integrated with Photoshop/Express</t>
        </is>
      </c>
      <c r="F49" s="7" t="inlineStr">
        <is>
          <t>Free credits; from $9.99/mo or CC plans</t>
        </is>
      </c>
      <c r="G49" s="7" t="inlineStr">
        <is>
          <t>No</t>
        </is>
      </c>
      <c r="H49" s="7" t="inlineStr">
        <is>
          <t>Trained on licensed content; Adobe app integration</t>
        </is>
      </c>
      <c r="I49" s="7" t="inlineStr">
        <is>
          <t>Less creative range</t>
        </is>
      </c>
      <c r="J49" s="7" t="inlineStr">
        <is>
          <t>Brands needing commercially-safe images</t>
        </is>
      </c>
      <c r="K49" s="5" t="n">
        <v>7</v>
      </c>
      <c r="L49" s="5" t="n">
        <v>6</v>
      </c>
      <c r="M49" s="5" t="n">
        <v>7</v>
      </c>
      <c r="N49" s="5" t="n">
        <v>6.7</v>
      </c>
      <c r="O49" s="5" t="n">
        <v>11</v>
      </c>
    </row>
    <row r="50" ht="58" customHeight="1">
      <c r="A50" s="5">
        <f>IMAGE("https://www.google.com/s2/favicons?domain=bfl.ai&amp;sz=64")</f>
        <v/>
      </c>
      <c r="B50" s="6" t="inlineStr">
        <is>
          <t>FLUX.1 (BFL)</t>
        </is>
      </c>
      <c r="C50" s="7" t="inlineStr">
        <is>
          <t>Freemium</t>
        </is>
      </c>
      <c r="D50" s="8" t="inlineStr">
        <is>
          <t>bfl.ai</t>
        </is>
      </c>
      <c r="E50" s="7" t="inlineStr">
        <is>
          <t>Black Forest Labs' frontier image models (Pro via API; open variants)</t>
        </is>
      </c>
      <c r="F50" s="7" t="inlineStr">
        <is>
          <t>API per-image; open weights free</t>
        </is>
      </c>
      <c r="G50" s="7" t="inlineStr">
        <is>
          <t>No</t>
        </is>
      </c>
      <c r="H50" s="7" t="inlineStr">
        <is>
          <t>Photorealism leader; open-weight options</t>
        </is>
      </c>
      <c r="I50" s="7" t="inlineStr">
        <is>
          <t>API-first; no consumer app</t>
        </is>
      </c>
      <c r="J50" s="7" t="inlineStr">
        <is>
          <t>Developers embedding image gen</t>
        </is>
      </c>
      <c r="K50" s="5" t="n">
        <v>7</v>
      </c>
      <c r="L50" s="5" t="n">
        <v>7</v>
      </c>
      <c r="M50" s="5" t="n">
        <v>9</v>
      </c>
      <c r="N50" s="5" t="n">
        <v>7.7</v>
      </c>
      <c r="O50" s="5" t="n">
        <v>2</v>
      </c>
    </row>
    <row r="51" ht="58" customHeight="1">
      <c r="A51" s="5">
        <f>IMAGE("https://www.google.com/s2/favicons?domain=ideogram.ai&amp;sz=64")</f>
        <v/>
      </c>
      <c r="B51" s="6" t="inlineStr">
        <is>
          <t>Ideogram</t>
        </is>
      </c>
      <c r="C51" s="7" t="inlineStr">
        <is>
          <t>Freemium</t>
        </is>
      </c>
      <c r="D51" s="8" t="inlineStr">
        <is>
          <t>ideogram.ai</t>
        </is>
      </c>
      <c r="E51" s="7" t="inlineStr">
        <is>
          <t>Image generation with industry-best text/typography rendering</t>
        </is>
      </c>
      <c r="F51" s="7" t="inlineStr">
        <is>
          <t>Free; from $8/mo</t>
        </is>
      </c>
      <c r="G51" s="7" t="inlineStr">
        <is>
          <t>No</t>
        </is>
      </c>
      <c r="H51" s="7" t="inlineStr">
        <is>
          <t>Best text-in-image; cheap</t>
        </is>
      </c>
      <c r="I51" s="7" t="inlineStr">
        <is>
          <t>Less photorealistic than FLUX</t>
        </is>
      </c>
      <c r="J51" s="7" t="inlineStr">
        <is>
          <t>Posters, logos, social graphics</t>
        </is>
      </c>
      <c r="K51" s="5" t="n">
        <v>5</v>
      </c>
      <c r="L51" s="5" t="n">
        <v>8</v>
      </c>
      <c r="M51" s="5" t="n">
        <v>8</v>
      </c>
      <c r="N51" s="5" t="n">
        <v>7</v>
      </c>
      <c r="O51" s="5" t="n">
        <v>8</v>
      </c>
    </row>
    <row r="52" ht="58" customHeight="1">
      <c r="A52" s="5">
        <f>IMAGE("https://www.google.com/s2/favicons?domain=recraft.ai&amp;sz=64")</f>
        <v/>
      </c>
      <c r="B52" s="6" t="inlineStr">
        <is>
          <t>Recraft</t>
        </is>
      </c>
      <c r="C52" s="7" t="inlineStr">
        <is>
          <t>Freemium</t>
        </is>
      </c>
      <c r="D52" s="8" t="inlineStr">
        <is>
          <t>recraft.ai</t>
        </is>
      </c>
      <c r="E52" s="7" t="inlineStr">
        <is>
          <t>Design-grade image/vector/SVG generation with brand styles</t>
        </is>
      </c>
      <c r="F52" s="7" t="inlineStr">
        <is>
          <t>Free; from $12/mo</t>
        </is>
      </c>
      <c r="G52" s="7" t="inlineStr">
        <is>
          <t>No</t>
        </is>
      </c>
      <c r="H52" s="7" t="inlineStr">
        <is>
          <t>Vector &amp; brand-style output (rare)</t>
        </is>
      </c>
      <c r="I52" s="7" t="inlineStr">
        <is>
          <t>Smaller community</t>
        </is>
      </c>
      <c r="J52" s="7" t="inlineStr">
        <is>
          <t>Designers needing editable vector AI art</t>
        </is>
      </c>
      <c r="K52" s="5" t="n">
        <v>6</v>
      </c>
      <c r="L52" s="5" t="n">
        <v>7</v>
      </c>
      <c r="M52" s="5" t="n">
        <v>8</v>
      </c>
      <c r="N52" s="5" t="n">
        <v>7</v>
      </c>
      <c r="O52" s="5" t="n">
        <v>9</v>
      </c>
    </row>
    <row r="53" ht="58" customHeight="1">
      <c r="A53" s="5">
        <f>IMAGE("https://www.google.com/s2/favicons?domain=stability.ai&amp;sz=64")</f>
        <v/>
      </c>
      <c r="B53" s="6" t="inlineStr">
        <is>
          <t>Stable Diffusion (Stability AI)</t>
        </is>
      </c>
      <c r="C53" s="7" t="inlineStr">
        <is>
          <t>Freemium</t>
        </is>
      </c>
      <c r="D53" s="8" t="inlineStr">
        <is>
          <t>stability.ai</t>
        </is>
      </c>
      <c r="E53" s="7" t="inlineStr">
        <is>
          <t>Open-weight image model family (SD 3.5) usable anywhere</t>
        </is>
      </c>
      <c r="F53" s="7" t="inlineStr">
        <is>
          <t>Free weights; API/credits</t>
        </is>
      </c>
      <c r="G53" s="7" t="inlineStr">
        <is>
          <t>No</t>
        </is>
      </c>
      <c r="H53" s="7" t="inlineStr">
        <is>
          <t>Open weights; fine-tunable; huge ecosystem</t>
        </is>
      </c>
      <c r="I53" s="7" t="inlineStr">
        <is>
          <t>DIY quality depends on setup</t>
        </is>
      </c>
      <c r="J53" s="7" t="inlineStr">
        <is>
          <t>Tinkerers and fine-tuners</t>
        </is>
      </c>
      <c r="K53" s="5" t="n">
        <v>6</v>
      </c>
      <c r="L53" s="5" t="n">
        <v>9</v>
      </c>
      <c r="M53" s="5" t="n">
        <v>8</v>
      </c>
      <c r="N53" s="5" t="n">
        <v>7.7</v>
      </c>
      <c r="O53" s="5" t="n">
        <v>3</v>
      </c>
    </row>
    <row r="54" ht="58" customHeight="1">
      <c r="A54" s="5">
        <f>IMAGE("https://www.google.com/s2/favicons?domain=leonardo.ai&amp;sz=64")</f>
        <v/>
      </c>
      <c r="B54" s="6" t="inlineStr">
        <is>
          <t>Leonardo.ai</t>
        </is>
      </c>
      <c r="C54" s="7" t="inlineStr">
        <is>
          <t>Freemium</t>
        </is>
      </c>
      <c r="D54" s="8" t="inlineStr">
        <is>
          <t>leonardo.ai</t>
        </is>
      </c>
      <c r="E54" s="7" t="inlineStr">
        <is>
          <t>Game/creative asset generation platform on fine-tuned models</t>
        </is>
      </c>
      <c r="F54" s="7" t="inlineStr">
        <is>
          <t>Free; from $12/mo</t>
        </is>
      </c>
      <c r="G54" s="7" t="inlineStr">
        <is>
          <t>No</t>
        </is>
      </c>
      <c r="H54" s="7" t="inlineStr">
        <is>
          <t>Great presets &amp; control; generous free tier</t>
        </is>
      </c>
      <c r="I54" s="7" t="inlineStr">
        <is>
          <t>Now Canva-owned; credit system</t>
        </is>
      </c>
      <c r="J54" s="7" t="inlineStr">
        <is>
          <t>Game artists and creators</t>
        </is>
      </c>
      <c r="K54" s="5" t="n">
        <v>6</v>
      </c>
      <c r="L54" s="5" t="n">
        <v>7</v>
      </c>
      <c r="M54" s="5" t="n">
        <v>8</v>
      </c>
      <c r="N54" s="5" t="n">
        <v>7</v>
      </c>
      <c r="O54" s="5" t="n">
        <v>10</v>
      </c>
    </row>
    <row r="55" ht="58" customHeight="1">
      <c r="A55" s="9">
        <f>IMAGE("https://www.google.com/s2/favicons?domain=github.com&amp;sz=64")</f>
        <v/>
      </c>
      <c r="B55" s="10" t="inlineStr">
        <is>
          <t>ComfyUI</t>
        </is>
      </c>
      <c r="C55" s="11" t="inlineStr">
        <is>
          <t>Open source (GitHub)</t>
        </is>
      </c>
      <c r="D55" s="12" t="inlineStr">
        <is>
          <t>github.com/comfyanonymous/ComfyUI</t>
        </is>
      </c>
      <c r="E55" s="11" t="inlineStr">
        <is>
          <t>Node-based open-source pipeline for SD/FLUX image &amp; video workflows</t>
        </is>
      </c>
      <c r="F55" s="11" t="inlineStr">
        <is>
          <t>Free (self-host)</t>
        </is>
      </c>
      <c r="G55" s="11" t="inlineStr">
        <is>
          <t>Partial — community MCP servers let Claude drive it</t>
        </is>
      </c>
      <c r="H55" s="11" t="inlineStr">
        <is>
          <t>Total control; free; industry standard for advanced gen</t>
        </is>
      </c>
      <c r="I55" s="11" t="inlineStr">
        <is>
          <t>Steep learning curve; needs GPU</t>
        </is>
      </c>
      <c r="J55" s="11" t="inlineStr">
        <is>
          <t>Power users building repeatable pipelines</t>
        </is>
      </c>
      <c r="K55" s="9" t="n">
        <v>7</v>
      </c>
      <c r="L55" s="9" t="n">
        <v>10</v>
      </c>
      <c r="M55" s="9" t="n">
        <v>9</v>
      </c>
      <c r="N55" s="9" t="n">
        <v>8.699999999999999</v>
      </c>
      <c r="O55" s="9" t="n">
        <v>1</v>
      </c>
    </row>
    <row r="56" ht="58" customHeight="1">
      <c r="A56" s="9">
        <f>IMAGE("https://www.google.com/s2/favicons?domain=github.com&amp;sz=64")</f>
        <v/>
      </c>
      <c r="B56" s="10" t="inlineStr">
        <is>
          <t>AUTOMATIC1111 WebUI</t>
        </is>
      </c>
      <c r="C56" s="11" t="inlineStr">
        <is>
          <t>Open source (GitHub)</t>
        </is>
      </c>
      <c r="D56" s="12" t="inlineStr">
        <is>
          <t>github.com/AUTOMATIC1111/stable-diffusion-webui</t>
        </is>
      </c>
      <c r="E56" s="11" t="inlineStr">
        <is>
          <t>Classic browser UI for Stable Diffusion with huge extension library</t>
        </is>
      </c>
      <c r="F56" s="11" t="inlineStr">
        <is>
          <t>Free (self-host)</t>
        </is>
      </c>
      <c r="G56" s="11" t="inlineStr">
        <is>
          <t>No</t>
        </is>
      </c>
      <c r="H56" s="11" t="inlineStr">
        <is>
          <t>Massive extension ecosystem; well documented</t>
        </is>
      </c>
      <c r="I56" s="11" t="inlineStr">
        <is>
          <t>Aging vs ComfyUI; GPU needed</t>
        </is>
      </c>
      <c r="J56" s="11" t="inlineStr">
        <is>
          <t>Hobbyists starting local image gen</t>
        </is>
      </c>
      <c r="K56" s="9" t="n">
        <v>5</v>
      </c>
      <c r="L56" s="9" t="n">
        <v>10</v>
      </c>
      <c r="M56" s="9" t="n">
        <v>7</v>
      </c>
      <c r="N56" s="9" t="n">
        <v>7.3</v>
      </c>
      <c r="O56" s="9" t="n">
        <v>5</v>
      </c>
    </row>
    <row r="57" ht="58" customHeight="1">
      <c r="A57" s="9">
        <f>IMAGE("https://www.google.com/s2/favicons?domain=github.com&amp;sz=64")</f>
        <v/>
      </c>
      <c r="B57" s="10" t="inlineStr">
        <is>
          <t>Fooocus</t>
        </is>
      </c>
      <c r="C57" s="11" t="inlineStr">
        <is>
          <t>Open source (GitHub)</t>
        </is>
      </c>
      <c r="D57" s="12" t="inlineStr">
        <is>
          <t>github.com/lllyasviel/Fooocus</t>
        </is>
      </c>
      <c r="E57" s="11" t="inlineStr">
        <is>
          <t>One-click, Midjourney-style local image generation (minimal knobs)</t>
        </is>
      </c>
      <c r="F57" s="11" t="inlineStr">
        <is>
          <t>Free (self-host)</t>
        </is>
      </c>
      <c r="G57" s="11" t="inlineStr">
        <is>
          <t>No</t>
        </is>
      </c>
      <c r="H57" s="11" t="inlineStr">
        <is>
          <t>Easiest local quality; offline</t>
        </is>
      </c>
      <c r="I57" s="11" t="inlineStr">
        <is>
          <t>Less flexible; maintenance slowed</t>
        </is>
      </c>
      <c r="J57" s="11" t="inlineStr">
        <is>
          <t>Beginners wanting local Midjourney-like output</t>
        </is>
      </c>
      <c r="K57" s="9" t="n">
        <v>4</v>
      </c>
      <c r="L57" s="9" t="n">
        <v>10</v>
      </c>
      <c r="M57" s="9" t="n">
        <v>6</v>
      </c>
      <c r="N57" s="9" t="n">
        <v>6.7</v>
      </c>
      <c r="O57" s="9" t="n">
        <v>12</v>
      </c>
    </row>
    <row r="58" ht="58" customHeight="1">
      <c r="A58" s="9">
        <f>IMAGE("https://www.google.com/s2/favicons?domain=github.com&amp;sz=64")</f>
        <v/>
      </c>
      <c r="B58" s="10" t="inlineStr">
        <is>
          <t>InvokeAI</t>
        </is>
      </c>
      <c r="C58" s="11" t="inlineStr">
        <is>
          <t>Open source (GitHub)</t>
        </is>
      </c>
      <c r="D58" s="12" t="inlineStr">
        <is>
          <t>github.com/invoke-ai/InvokeAI</t>
        </is>
      </c>
      <c r="E58" s="11" t="inlineStr">
        <is>
          <t>Polished open-source creative studio for diffusion models</t>
        </is>
      </c>
      <c r="F58" s="11" t="inlineStr">
        <is>
          <t>Free; paid cloud</t>
        </is>
      </c>
      <c r="G58" s="11" t="inlineStr">
        <is>
          <t>No</t>
        </is>
      </c>
      <c r="H58" s="11" t="inlineStr">
        <is>
          <t>Pro UI; canvas/inpainting workflows</t>
        </is>
      </c>
      <c r="I58" s="11" t="inlineStr">
        <is>
          <t>GPU needed</t>
        </is>
      </c>
      <c r="J58" s="11" t="inlineStr">
        <is>
          <t>Artists wanting a polished local studio</t>
        </is>
      </c>
      <c r="K58" s="9" t="n">
        <v>5</v>
      </c>
      <c r="L58" s="9" t="n">
        <v>10</v>
      </c>
      <c r="M58" s="9" t="n">
        <v>7</v>
      </c>
      <c r="N58" s="9" t="n">
        <v>7.3</v>
      </c>
      <c r="O58" s="9" t="n">
        <v>6</v>
      </c>
    </row>
    <row r="59" ht="22" customHeight="1">
      <c r="A59" s="4" t="inlineStr">
        <is>
          <t>AI Video Generation</t>
        </is>
      </c>
    </row>
    <row r="60" ht="58" customHeight="1">
      <c r="A60" s="5">
        <f>IMAGE("https://www.google.com/s2/favicons?domain=sora.com&amp;sz=64")</f>
        <v/>
      </c>
      <c r="B60" s="6" t="inlineStr">
        <is>
          <t>Sora</t>
        </is>
      </c>
      <c r="C60" s="7" t="inlineStr">
        <is>
          <t>Paid</t>
        </is>
      </c>
      <c r="D60" s="8" t="inlineStr">
        <is>
          <t>sora.com</t>
        </is>
      </c>
      <c r="E60" s="7" t="inlineStr">
        <is>
          <t>OpenAI's text-to-video with cameo/remix social app</t>
        </is>
      </c>
      <c r="F60" s="7" t="inlineStr">
        <is>
          <t>With ChatGPT Plus/Pro</t>
        </is>
      </c>
      <c r="G60" s="7" t="inlineStr">
        <is>
          <t>No</t>
        </is>
      </c>
      <c r="H60" s="7" t="inlineStr">
        <is>
          <t>Top-tier realism; storyboard tools</t>
        </is>
      </c>
      <c r="I60" s="7" t="inlineStr">
        <is>
          <t>Access/usage limits; content restrictions</t>
        </is>
      </c>
      <c r="J60" s="7" t="inlineStr">
        <is>
          <t>Creators on ChatGPT plans</t>
        </is>
      </c>
      <c r="K60" s="5" t="n">
        <v>6</v>
      </c>
      <c r="L60" s="5" t="n">
        <v>6</v>
      </c>
      <c r="M60" s="5" t="n">
        <v>9</v>
      </c>
      <c r="N60" s="5" t="n">
        <v>7</v>
      </c>
      <c r="O60" s="5" t="n">
        <v>3</v>
      </c>
    </row>
    <row r="61" ht="58" customHeight="1">
      <c r="A61" s="5">
        <f>IMAGE("https://www.google.com/s2/favicons?domain=deepmind.google&amp;sz=64")</f>
        <v/>
      </c>
      <c r="B61" s="6" t="inlineStr">
        <is>
          <t>Google Veo</t>
        </is>
      </c>
      <c r="C61" s="7" t="inlineStr">
        <is>
          <t>Paid</t>
        </is>
      </c>
      <c r="D61" s="8" t="inlineStr">
        <is>
          <t>deepmind.google/models/veo</t>
        </is>
      </c>
      <c r="E61" s="7" t="inlineStr">
        <is>
          <t>Google's flagship video model (Veo 3) with native audio, in Gemini/Flow</t>
        </is>
      </c>
      <c r="F61" s="7" t="inlineStr">
        <is>
          <t>Gemini AI Pro $20/mo; Ultra $250/mo</t>
        </is>
      </c>
      <c r="G61" s="7" t="inlineStr">
        <is>
          <t>No</t>
        </is>
      </c>
      <c r="H61" s="7" t="inlineStr">
        <is>
          <t>Native audio + dialogue; best physics</t>
        </is>
      </c>
      <c r="I61" s="7" t="inlineStr">
        <is>
          <t>Expensive at scale; watermarks/limits</t>
        </is>
      </c>
      <c r="J61" s="7" t="inlineStr">
        <is>
          <t>Filmmakers and ad creatives</t>
        </is>
      </c>
      <c r="K61" s="5" t="n">
        <v>6</v>
      </c>
      <c r="L61" s="5" t="n">
        <v>5</v>
      </c>
      <c r="M61" s="5" t="n">
        <v>10</v>
      </c>
      <c r="N61" s="5" t="n">
        <v>7</v>
      </c>
      <c r="O61" s="5" t="n">
        <v>4</v>
      </c>
    </row>
    <row r="62" ht="58" customHeight="1">
      <c r="A62" s="5">
        <f>IMAGE("https://www.google.com/s2/favicons?domain=runwayml.com&amp;sz=64")</f>
        <v/>
      </c>
      <c r="B62" s="6" t="inlineStr">
        <is>
          <t>Runway</t>
        </is>
      </c>
      <c r="C62" s="7" t="inlineStr">
        <is>
          <t>Freemium</t>
        </is>
      </c>
      <c r="D62" s="8" t="inlineStr">
        <is>
          <t>runwayml.com</t>
        </is>
      </c>
      <c r="E62" s="7" t="inlineStr">
        <is>
          <t>Pro AI video suite (Gen-4): gen, edit, motion control</t>
        </is>
      </c>
      <c r="F62" s="7" t="inlineStr">
        <is>
          <t>Free; Standard $15/mo; Pro $35/mo</t>
        </is>
      </c>
      <c r="G62" s="7" t="inlineStr">
        <is>
          <t>No</t>
        </is>
      </c>
      <c r="H62" s="7" t="inlineStr">
        <is>
          <t>Pro editing toolchain around gen; film-industry traction</t>
        </is>
      </c>
      <c r="I62" s="7" t="inlineStr">
        <is>
          <t>Credits drain fast</t>
        </is>
      </c>
      <c r="J62" s="7" t="inlineStr">
        <is>
          <t>Video professionals</t>
        </is>
      </c>
      <c r="K62" s="5" t="n">
        <v>6</v>
      </c>
      <c r="L62" s="5" t="n">
        <v>6</v>
      </c>
      <c r="M62" s="5" t="n">
        <v>9</v>
      </c>
      <c r="N62" s="5" t="n">
        <v>7</v>
      </c>
      <c r="O62" s="5" t="n">
        <v>5</v>
      </c>
    </row>
    <row r="63" ht="58" customHeight="1">
      <c r="A63" s="5">
        <f>IMAGE("https://www.google.com/s2/favicons?domain=klingai.com&amp;sz=64")</f>
        <v/>
      </c>
      <c r="B63" s="6" t="inlineStr">
        <is>
          <t>Kling</t>
        </is>
      </c>
      <c r="C63" s="7" t="inlineStr">
        <is>
          <t>Freemium</t>
        </is>
      </c>
      <c r="D63" s="8" t="inlineStr">
        <is>
          <t>klingai.com</t>
        </is>
      </c>
      <c r="E63" s="7" t="inlineStr">
        <is>
          <t>Kuaishou's high-quality video model, strong motion realism</t>
        </is>
      </c>
      <c r="F63" s="7" t="inlineStr">
        <is>
          <t>Free credits; from $10/mo</t>
        </is>
      </c>
      <c r="G63" s="7" t="inlineStr">
        <is>
          <t>No</t>
        </is>
      </c>
      <c r="H63" s="7" t="inlineStr">
        <is>
          <t>Excellent quality/price; long clips</t>
        </is>
      </c>
      <c r="I63" s="7" t="inlineStr">
        <is>
          <t>Chinese platform — data considerations</t>
        </is>
      </c>
      <c r="J63" s="7" t="inlineStr">
        <is>
          <t>Cost-conscious video creators</t>
        </is>
      </c>
      <c r="K63" s="5" t="n">
        <v>5</v>
      </c>
      <c r="L63" s="5" t="n">
        <v>8</v>
      </c>
      <c r="M63" s="5" t="n">
        <v>9</v>
      </c>
      <c r="N63" s="5" t="n">
        <v>7.3</v>
      </c>
      <c r="O63" s="5" t="n">
        <v>1</v>
      </c>
    </row>
    <row r="64" ht="58" customHeight="1">
      <c r="A64" s="5">
        <f>IMAGE("https://www.google.com/s2/favicons?domain=lumalabs.ai&amp;sz=64")</f>
        <v/>
      </c>
      <c r="B64" s="6" t="inlineStr">
        <is>
          <t>Luma Dream Machine</t>
        </is>
      </c>
      <c r="C64" s="7" t="inlineStr">
        <is>
          <t>Freemium</t>
        </is>
      </c>
      <c r="D64" s="8" t="inlineStr">
        <is>
          <t>lumalabs.ai</t>
        </is>
      </c>
      <c r="E64" s="7" t="inlineStr">
        <is>
          <t>Fast, accessible text/image-to-video (Ray models)</t>
        </is>
      </c>
      <c r="F64" s="7" t="inlineStr">
        <is>
          <t>Free; from $9.99/mo</t>
        </is>
      </c>
      <c r="G64" s="7" t="inlineStr">
        <is>
          <t>No</t>
        </is>
      </c>
      <c r="H64" s="7" t="inlineStr">
        <is>
          <t>Easy; good image-to-video; API</t>
        </is>
      </c>
      <c r="I64" s="7" t="inlineStr">
        <is>
          <t>Shorter clips; less control</t>
        </is>
      </c>
      <c r="J64" s="7" t="inlineStr">
        <is>
          <t>Social content creators</t>
        </is>
      </c>
      <c r="K64" s="5" t="n">
        <v>5</v>
      </c>
      <c r="L64" s="5" t="n">
        <v>7</v>
      </c>
      <c r="M64" s="5" t="n">
        <v>8</v>
      </c>
      <c r="N64" s="5" t="n">
        <v>6.7</v>
      </c>
      <c r="O64" s="5" t="n">
        <v>8</v>
      </c>
    </row>
    <row r="65" ht="58" customHeight="1">
      <c r="A65" s="5">
        <f>IMAGE("https://www.google.com/s2/favicons?domain=pika.art&amp;sz=64")</f>
        <v/>
      </c>
      <c r="B65" s="6" t="inlineStr">
        <is>
          <t>Pika</t>
        </is>
      </c>
      <c r="C65" s="7" t="inlineStr">
        <is>
          <t>Freemium</t>
        </is>
      </c>
      <c r="D65" s="8" t="inlineStr">
        <is>
          <t>pika.art</t>
        </is>
      </c>
      <c r="E65" s="7" t="inlineStr">
        <is>
          <t>Playful video generation with effects (Pikaffects)</t>
        </is>
      </c>
      <c r="F65" s="7" t="inlineStr">
        <is>
          <t>Free; from $10/mo</t>
        </is>
      </c>
      <c r="G65" s="7" t="inlineStr">
        <is>
          <t>No</t>
        </is>
      </c>
      <c r="H65" s="7" t="inlineStr">
        <is>
          <t>Fun effects; easy remixing</t>
        </is>
      </c>
      <c r="I65" s="7" t="inlineStr">
        <is>
          <t>Less realistic than leaders</t>
        </is>
      </c>
      <c r="J65" s="7" t="inlineStr">
        <is>
          <t>Social/meme video makers</t>
        </is>
      </c>
      <c r="K65" s="5" t="n">
        <v>4</v>
      </c>
      <c r="L65" s="5" t="n">
        <v>7</v>
      </c>
      <c r="M65" s="5" t="n">
        <v>7</v>
      </c>
      <c r="N65" s="5" t="n">
        <v>6</v>
      </c>
      <c r="O65" s="5" t="n">
        <v>15</v>
      </c>
    </row>
    <row r="66" ht="58" customHeight="1">
      <c r="A66" s="5">
        <f>IMAGE("https://www.google.com/s2/favicons?domain=haiper.ai&amp;sz=64")</f>
        <v/>
      </c>
      <c r="B66" s="6" t="inlineStr">
        <is>
          <t>Haiper</t>
        </is>
      </c>
      <c r="C66" s="7" t="inlineStr">
        <is>
          <t>Freemium</t>
        </is>
      </c>
      <c r="D66" s="8" t="inlineStr">
        <is>
          <t>haiper.ai</t>
        </is>
      </c>
      <c r="E66" s="7" t="inlineStr">
        <is>
          <t>Budget text-to-video platform</t>
        </is>
      </c>
      <c r="F66" s="7" t="inlineStr">
        <is>
          <t>Free; from $10/mo</t>
        </is>
      </c>
      <c r="G66" s="7" t="inlineStr">
        <is>
          <t>No</t>
        </is>
      </c>
      <c r="H66" s="7" t="inlineStr">
        <is>
          <t>Cheap entry point</t>
        </is>
      </c>
      <c r="I66" s="7" t="inlineStr">
        <is>
          <t>Quality behind leaders; uncertain roadmap</t>
        </is>
      </c>
      <c r="J66" s="7" t="inlineStr">
        <is>
          <t>Experimenting on a budget</t>
        </is>
      </c>
      <c r="K66" s="5" t="n">
        <v>3</v>
      </c>
      <c r="L66" s="5" t="n">
        <v>7</v>
      </c>
      <c r="M66" s="5" t="n">
        <v>6</v>
      </c>
      <c r="N66" s="5" t="n">
        <v>5.3</v>
      </c>
      <c r="O66" s="5" t="n">
        <v>18</v>
      </c>
    </row>
    <row r="67" ht="58" customHeight="1">
      <c r="A67" s="5">
        <f>IMAGE("https://www.google.com/s2/favicons?domain=ltx.studio&amp;sz=64")</f>
        <v/>
      </c>
      <c r="B67" s="6" t="inlineStr">
        <is>
          <t>LTX Studio</t>
        </is>
      </c>
      <c r="C67" s="7" t="inlineStr">
        <is>
          <t>Paid</t>
        </is>
      </c>
      <c r="D67" s="8" t="inlineStr">
        <is>
          <t>ltx.studio</t>
        </is>
      </c>
      <c r="E67" s="7" t="inlineStr">
        <is>
          <t>Lightricks' AI filmmaking studio: script-to-storyboard-to-video</t>
        </is>
      </c>
      <c r="F67" s="7" t="inlineStr">
        <is>
          <t>From $15/mo</t>
        </is>
      </c>
      <c r="G67" s="7" t="inlineStr">
        <is>
          <t>No</t>
        </is>
      </c>
      <c r="H67" s="7" t="inlineStr">
        <is>
          <t>End-to-end narrative pipeline; open LTX-Video model</t>
        </is>
      </c>
      <c r="I67" s="7" t="inlineStr">
        <is>
          <t>Heavier tool to learn</t>
        </is>
      </c>
      <c r="J67" s="7" t="inlineStr">
        <is>
          <t>Storytellers and agencies</t>
        </is>
      </c>
      <c r="K67" s="5" t="n">
        <v>5</v>
      </c>
      <c r="L67" s="5" t="n">
        <v>6</v>
      </c>
      <c r="M67" s="5" t="n">
        <v>8</v>
      </c>
      <c r="N67" s="5" t="n">
        <v>6.3</v>
      </c>
      <c r="O67" s="5" t="n">
        <v>12</v>
      </c>
    </row>
    <row r="68" ht="58" customHeight="1">
      <c r="A68" s="5">
        <f>IMAGE("https://www.google.com/s2/favicons?domain=krea.ai&amp;sz=64")</f>
        <v/>
      </c>
      <c r="B68" s="6" t="inlineStr">
        <is>
          <t>Krea</t>
        </is>
      </c>
      <c r="C68" s="7" t="inlineStr">
        <is>
          <t>Freemium</t>
        </is>
      </c>
      <c r="D68" s="8" t="inlineStr">
        <is>
          <t>krea.ai</t>
        </is>
      </c>
      <c r="E68" s="7" t="inlineStr">
        <is>
          <t>Real-time AI image/video generation and enhancement playground</t>
        </is>
      </c>
      <c r="F68" s="7" t="inlineStr">
        <is>
          <t>Free; from $10/mo</t>
        </is>
      </c>
      <c r="G68" s="7" t="inlineStr">
        <is>
          <t>No</t>
        </is>
      </c>
      <c r="H68" s="7" t="inlineStr">
        <is>
          <t>Real-time canvas; multi-model hub</t>
        </is>
      </c>
      <c r="I68" s="7" t="inlineStr">
        <is>
          <t>Jack-of-all-trades</t>
        </is>
      </c>
      <c r="J68" s="7" t="inlineStr">
        <is>
          <t>Designers exploring gen models</t>
        </is>
      </c>
      <c r="K68" s="5" t="n">
        <v>5</v>
      </c>
      <c r="L68" s="5" t="n">
        <v>7</v>
      </c>
      <c r="M68" s="5" t="n">
        <v>8</v>
      </c>
      <c r="N68" s="5" t="n">
        <v>6.7</v>
      </c>
      <c r="O68" s="5" t="n">
        <v>9</v>
      </c>
    </row>
    <row r="69" ht="58" customHeight="1">
      <c r="A69" s="5">
        <f>IMAGE("https://www.google.com/s2/favicons?domain=descript.com&amp;sz=64")</f>
        <v/>
      </c>
      <c r="B69" s="6" t="inlineStr">
        <is>
          <t>Descript</t>
        </is>
      </c>
      <c r="C69" s="7" t="inlineStr">
        <is>
          <t>Freemium</t>
        </is>
      </c>
      <c r="D69" s="8" t="inlineStr">
        <is>
          <t>descript.com</t>
        </is>
      </c>
      <c r="E69" s="7" t="inlineStr">
        <is>
          <t>Edit video/podcasts by editing the transcript; AI voices &amp; eye contact</t>
        </is>
      </c>
      <c r="F69" s="7" t="inlineStr">
        <is>
          <t>Free; Hobbyist $24/mo</t>
        </is>
      </c>
      <c r="G69" s="7" t="inlineStr">
        <is>
          <t>No</t>
        </is>
      </c>
      <c r="H69" s="7" t="inlineStr">
        <is>
          <t>Transcript-editing is magic for talking-head content; Underlord AI</t>
        </is>
      </c>
      <c r="I69" s="7" t="inlineStr">
        <is>
          <t>Not a generator; performance on long projects</t>
        </is>
      </c>
      <c r="J69" s="7" t="inlineStr">
        <is>
          <t>Podcasters and course creators</t>
        </is>
      </c>
      <c r="K69" s="5" t="n">
        <v>6</v>
      </c>
      <c r="L69" s="5" t="n">
        <v>7</v>
      </c>
      <c r="M69" s="5" t="n">
        <v>8</v>
      </c>
      <c r="N69" s="5" t="n">
        <v>7</v>
      </c>
      <c r="O69" s="5" t="n">
        <v>6</v>
      </c>
    </row>
    <row r="70" ht="58" customHeight="1">
      <c r="A70" s="5">
        <f>IMAGE("https://www.google.com/s2/favicons?domain=invideo.io&amp;sz=64")</f>
        <v/>
      </c>
      <c r="B70" s="6" t="inlineStr">
        <is>
          <t>InVideo AI</t>
        </is>
      </c>
      <c r="C70" s="7" t="inlineStr">
        <is>
          <t>Freemium</t>
        </is>
      </c>
      <c r="D70" s="8" t="inlineStr">
        <is>
          <t>invideo.io</t>
        </is>
      </c>
      <c r="E70" s="7" t="inlineStr">
        <is>
          <t>Prompt-to-finished marketing/social video with stock + voiceover</t>
        </is>
      </c>
      <c r="F70" s="7" t="inlineStr">
        <is>
          <t>Free; from $28/mo</t>
        </is>
      </c>
      <c r="G70" s="7" t="inlineStr">
        <is>
          <t>No</t>
        </is>
      </c>
      <c r="H70" s="7" t="inlineStr">
        <is>
          <t>Full videos (script+stock+VO) from one prompt</t>
        </is>
      </c>
      <c r="I70" s="7" t="inlineStr">
        <is>
          <t>Template feel; watermark on free</t>
        </is>
      </c>
      <c r="J70" s="7" t="inlineStr">
        <is>
          <t>SMB marketing videos</t>
        </is>
      </c>
      <c r="K70" s="5" t="n">
        <v>5</v>
      </c>
      <c r="L70" s="5" t="n">
        <v>6</v>
      </c>
      <c r="M70" s="5" t="n">
        <v>7</v>
      </c>
      <c r="N70" s="5" t="n">
        <v>6</v>
      </c>
      <c r="O70" s="5" t="n">
        <v>16</v>
      </c>
    </row>
    <row r="71" ht="58" customHeight="1">
      <c r="A71" s="5">
        <f>IMAGE("https://www.google.com/s2/favicons?domain=synthesia.io&amp;sz=64")</f>
        <v/>
      </c>
      <c r="B71" s="6" t="inlineStr">
        <is>
          <t>Synthesia</t>
        </is>
      </c>
      <c r="C71" s="7" t="inlineStr">
        <is>
          <t>Paid</t>
        </is>
      </c>
      <c r="D71" s="8" t="inlineStr">
        <is>
          <t>synthesia.io</t>
        </is>
      </c>
      <c r="E71" s="7" t="inlineStr">
        <is>
          <t>AI avatar presenter videos in 140+ languages for training/comms</t>
        </is>
      </c>
      <c r="F71" s="7" t="inlineStr">
        <is>
          <t>Free demo; Starter $29/mo</t>
        </is>
      </c>
      <c r="G71" s="7" t="inlineStr">
        <is>
          <t>No</t>
        </is>
      </c>
      <c r="H71" s="7" t="inlineStr">
        <is>
          <t>Best avatars; no camera needed; enterprise-ready</t>
        </is>
      </c>
      <c r="I71" s="7" t="inlineStr">
        <is>
          <t>Avatars feel corporate; per-minute limits</t>
        </is>
      </c>
      <c r="J71" s="7" t="inlineStr">
        <is>
          <t>L&amp;D and internal comms teams</t>
        </is>
      </c>
      <c r="K71" s="5" t="n">
        <v>6</v>
      </c>
      <c r="L71" s="5" t="n">
        <v>5</v>
      </c>
      <c r="M71" s="5" t="n">
        <v>8</v>
      </c>
      <c r="N71" s="5" t="n">
        <v>6.3</v>
      </c>
      <c r="O71" s="5" t="n">
        <v>13</v>
      </c>
    </row>
    <row r="72" ht="58" customHeight="1">
      <c r="A72" s="5">
        <f>IMAGE("https://www.google.com/s2/favicons?domain=heygen.com&amp;sz=64")</f>
        <v/>
      </c>
      <c r="B72" s="6" t="inlineStr">
        <is>
          <t>HeyGen</t>
        </is>
      </c>
      <c r="C72" s="7" t="inlineStr">
        <is>
          <t>Freemium</t>
        </is>
      </c>
      <c r="D72" s="8" t="inlineStr">
        <is>
          <t>heygen.com</t>
        </is>
      </c>
      <c r="E72" s="7" t="inlineStr">
        <is>
          <t>AI avatars, video translation and lip-synced dubbing</t>
        </is>
      </c>
      <c r="F72" s="7" t="inlineStr">
        <is>
          <t>Free; Creator $29/mo</t>
        </is>
      </c>
      <c r="G72" s="7" t="inlineStr">
        <is>
          <t>Partial — API + Zapier; community MCP</t>
        </is>
      </c>
      <c r="H72" s="7" t="inlineStr">
        <is>
          <t>Best video translation/dubbing; fast avatar cloning</t>
        </is>
      </c>
      <c r="I72" s="7" t="inlineStr">
        <is>
          <t>Credits; uncanny edge cases</t>
        </is>
      </c>
      <c r="J72" s="7" t="inlineStr">
        <is>
          <t>Marketers localising video</t>
        </is>
      </c>
      <c r="K72" s="5" t="n">
        <v>6</v>
      </c>
      <c r="L72" s="5" t="n">
        <v>6</v>
      </c>
      <c r="M72" s="5" t="n">
        <v>8</v>
      </c>
      <c r="N72" s="5" t="n">
        <v>6.7</v>
      </c>
      <c r="O72" s="5" t="n">
        <v>10</v>
      </c>
    </row>
    <row r="73" ht="58" customHeight="1">
      <c r="A73" s="5">
        <f>IMAGE("https://www.google.com/s2/favicons?domain=opus.pro&amp;sz=64")</f>
        <v/>
      </c>
      <c r="B73" s="6" t="inlineStr">
        <is>
          <t>OpusClip</t>
        </is>
      </c>
      <c r="C73" s="7" t="inlineStr">
        <is>
          <t>Freemium</t>
        </is>
      </c>
      <c r="D73" s="8" t="inlineStr">
        <is>
          <t>opus.pro</t>
        </is>
      </c>
      <c r="E73" s="7" t="inlineStr">
        <is>
          <t>Turns long videos into ranked, captioned viral short clips</t>
        </is>
      </c>
      <c r="F73" s="7" t="inlineStr">
        <is>
          <t>Free; from $15/mo</t>
        </is>
      </c>
      <c r="G73" s="7" t="inlineStr">
        <is>
          <t>No</t>
        </is>
      </c>
      <c r="H73" s="7" t="inlineStr">
        <is>
          <t>Huge time-saver for shorts; virality scoring</t>
        </is>
      </c>
      <c r="I73" s="7" t="inlineStr">
        <is>
          <t>Clip choices need review</t>
        </is>
      </c>
      <c r="J73" s="7" t="inlineStr">
        <is>
          <t>Podcasters repurposing to Shorts/TikTok</t>
        </is>
      </c>
      <c r="K73" s="5" t="n">
        <v>5</v>
      </c>
      <c r="L73" s="5" t="n">
        <v>7</v>
      </c>
      <c r="M73" s="5" t="n">
        <v>7</v>
      </c>
      <c r="N73" s="5" t="n">
        <v>6.3</v>
      </c>
      <c r="O73" s="5" t="n">
        <v>14</v>
      </c>
    </row>
    <row r="74" ht="58" customHeight="1">
      <c r="A74" s="9">
        <f>IMAGE("https://www.google.com/s2/favicons?domain=github.com&amp;sz=64")</f>
        <v/>
      </c>
      <c r="B74" s="10" t="inlineStr">
        <is>
          <t>LTX-Video</t>
        </is>
      </c>
      <c r="C74" s="11" t="inlineStr">
        <is>
          <t>Open source (GitHub)</t>
        </is>
      </c>
      <c r="D74" s="12" t="inlineStr">
        <is>
          <t>github.com/Lightricks/LTX-Video</t>
        </is>
      </c>
      <c r="E74" s="11" t="inlineStr">
        <is>
          <t>Open-weight real-time video generation model (runs on consumer GPUs)</t>
        </is>
      </c>
      <c r="F74" s="11" t="inlineStr">
        <is>
          <t>Free (self-host)</t>
        </is>
      </c>
      <c r="G74" s="11" t="inlineStr">
        <is>
          <t>No</t>
        </is>
      </c>
      <c r="H74" s="11" t="inlineStr">
        <is>
          <t>Fast open model; commercial-friendly license</t>
        </is>
      </c>
      <c r="I74" s="11" t="inlineStr">
        <is>
          <t>Below closed SOTA quality; GPU needed</t>
        </is>
      </c>
      <c r="J74" s="11" t="inlineStr">
        <is>
          <t>Developers embedding video gen</t>
        </is>
      </c>
      <c r="K74" s="9" t="n">
        <v>5</v>
      </c>
      <c r="L74" s="9" t="n">
        <v>10</v>
      </c>
      <c r="M74" s="9" t="n">
        <v>7</v>
      </c>
      <c r="N74" s="9" t="n">
        <v>7.3</v>
      </c>
      <c r="O74" s="9" t="n">
        <v>2</v>
      </c>
    </row>
    <row r="75" ht="58" customHeight="1">
      <c r="A75" s="9">
        <f>IMAGE("https://www.google.com/s2/favicons?domain=github.com&amp;sz=64")</f>
        <v/>
      </c>
      <c r="B75" s="10" t="inlineStr">
        <is>
          <t>HunyuanVideo</t>
        </is>
      </c>
      <c r="C75" s="11" t="inlineStr">
        <is>
          <t>Open source (GitHub)</t>
        </is>
      </c>
      <c r="D75" s="12" t="inlineStr">
        <is>
          <t>github.com/Tencent-Hunyuan/HunyuanVideo</t>
        </is>
      </c>
      <c r="E75" s="11" t="inlineStr">
        <is>
          <t>Tencent's open-weight 13B video generation model</t>
        </is>
      </c>
      <c r="F75" s="11" t="inlineStr">
        <is>
          <t>Free (self-host)</t>
        </is>
      </c>
      <c r="G75" s="11" t="inlineStr">
        <is>
          <t>No</t>
        </is>
      </c>
      <c r="H75" s="11" t="inlineStr">
        <is>
          <t>Near-commercial quality open weights</t>
        </is>
      </c>
      <c r="I75" s="11" t="inlineStr">
        <is>
          <t>Big GPU requirements</t>
        </is>
      </c>
      <c r="J75" s="11" t="inlineStr">
        <is>
          <t>Researchers and GPU-rich tinkerers</t>
        </is>
      </c>
      <c r="K75" s="9" t="n">
        <v>4</v>
      </c>
      <c r="L75" s="9" t="n">
        <v>9</v>
      </c>
      <c r="M75" s="9" t="n">
        <v>7</v>
      </c>
      <c r="N75" s="9" t="n">
        <v>6.7</v>
      </c>
      <c r="O75" s="9" t="n">
        <v>11</v>
      </c>
    </row>
    <row r="76" ht="58" customHeight="1">
      <c r="A76" s="9">
        <f>IMAGE("https://www.google.com/s2/favicons?domain=github.com&amp;sz=64")</f>
        <v/>
      </c>
      <c r="B76" s="10" t="inlineStr">
        <is>
          <t>Wan 2.x</t>
        </is>
      </c>
      <c r="C76" s="11" t="inlineStr">
        <is>
          <t>Open source (GitHub)</t>
        </is>
      </c>
      <c r="D76" s="12" t="inlineStr">
        <is>
          <t>github.com/Wan-Video/Wan2.1</t>
        </is>
      </c>
      <c r="E76" s="11" t="inlineStr">
        <is>
          <t>Alibaba's open video model family; strong i2v; runs in ComfyUI</t>
        </is>
      </c>
      <c r="F76" s="11" t="inlineStr">
        <is>
          <t>Free (self-host)</t>
        </is>
      </c>
      <c r="G76" s="11" t="inlineStr">
        <is>
          <t>No</t>
        </is>
      </c>
      <c r="H76" s="11" t="inlineStr">
        <is>
          <t>Top open-source video quality; active community</t>
        </is>
      </c>
      <c r="I76" s="11" t="inlineStr">
        <is>
          <t>GPU heavy; Chinese-origin considerations</t>
        </is>
      </c>
      <c r="J76" s="11" t="inlineStr">
        <is>
          <t>Local video generation enthusiasts</t>
        </is>
      </c>
      <c r="K76" s="9" t="n">
        <v>4</v>
      </c>
      <c r="L76" s="9" t="n">
        <v>9</v>
      </c>
      <c r="M76" s="9" t="n">
        <v>8</v>
      </c>
      <c r="N76" s="9" t="n">
        <v>7</v>
      </c>
      <c r="O76" s="9" t="n">
        <v>7</v>
      </c>
    </row>
    <row r="77" ht="58" customHeight="1">
      <c r="A77" s="9">
        <f>IMAGE("https://www.google.com/s2/favicons?domain=github.com&amp;sz=64")</f>
        <v/>
      </c>
      <c r="B77" s="10" t="inlineStr">
        <is>
          <t>Open-Sora</t>
        </is>
      </c>
      <c r="C77" s="11" t="inlineStr">
        <is>
          <t>Open source (GitHub)</t>
        </is>
      </c>
      <c r="D77" s="12" t="inlineStr">
        <is>
          <t>github.com/hpcaitech/Open-Sora</t>
        </is>
      </c>
      <c r="E77" s="11" t="inlineStr">
        <is>
          <t>Fully open-source video generation training/inference stack</t>
        </is>
      </c>
      <c r="F77" s="11" t="inlineStr">
        <is>
          <t>Free (self-host)</t>
        </is>
      </c>
      <c r="G77" s="11" t="inlineStr">
        <is>
          <t>No</t>
        </is>
      </c>
      <c r="H77" s="11" t="inlineStr">
        <is>
          <t>Fully open incl. training code</t>
        </is>
      </c>
      <c r="I77" s="11" t="inlineStr">
        <is>
          <t>Research-grade output</t>
        </is>
      </c>
      <c r="J77" s="11" t="inlineStr">
        <is>
          <t>Researchers training video models</t>
        </is>
      </c>
      <c r="K77" s="9" t="n">
        <v>3</v>
      </c>
      <c r="L77" s="9" t="n">
        <v>9</v>
      </c>
      <c r="M77" s="9" t="n">
        <v>5</v>
      </c>
      <c r="N77" s="9" t="n">
        <v>5.7</v>
      </c>
      <c r="O77" s="9" t="n">
        <v>17</v>
      </c>
    </row>
    <row r="78" ht="22" customHeight="1">
      <c r="A78" s="4" t="inlineStr">
        <is>
          <t>AI Voice &amp; Audio</t>
        </is>
      </c>
    </row>
    <row r="79" ht="58" customHeight="1">
      <c r="A79" s="5">
        <f>IMAGE("https://www.google.com/s2/favicons?domain=elevenlabs.io&amp;sz=64")</f>
        <v/>
      </c>
      <c r="B79" s="6" t="inlineStr">
        <is>
          <t>ElevenLabs</t>
        </is>
      </c>
      <c r="C79" s="7" t="inlineStr">
        <is>
          <t>Freemium</t>
        </is>
      </c>
      <c r="D79" s="8" t="inlineStr">
        <is>
          <t>elevenlabs.io</t>
        </is>
      </c>
      <c r="E79" s="7" t="inlineStr">
        <is>
          <t>Best-in-class TTS, voice cloning, dubbing and conversational agents</t>
        </is>
      </c>
      <c r="F79" s="7" t="inlineStr">
        <is>
          <t>Free; from $5/mo</t>
        </is>
      </c>
      <c r="G79" s="7" t="inlineStr">
        <is>
          <t>Yes — official ElevenLabs MCP server works with Claude</t>
        </is>
      </c>
      <c r="H79" s="7" t="inlineStr">
        <is>
          <t>Most realistic voices; agent platform; MCP</t>
        </is>
      </c>
      <c r="I79" s="7" t="inlineStr">
        <is>
          <t>Costs scale fast with usage</t>
        </is>
      </c>
      <c r="J79" s="7" t="inlineStr">
        <is>
          <t>Creators, app builders, audiobooks</t>
        </is>
      </c>
      <c r="K79" s="5" t="n">
        <v>9</v>
      </c>
      <c r="L79" s="5" t="n">
        <v>7</v>
      </c>
      <c r="M79" s="5" t="n">
        <v>10</v>
      </c>
      <c r="N79" s="5" t="n">
        <v>8.699999999999999</v>
      </c>
      <c r="O79" s="5" t="n">
        <v>1</v>
      </c>
    </row>
    <row r="80" ht="58" customHeight="1">
      <c r="A80" s="5">
        <f>IMAGE("https://www.google.com/s2/favicons?domain=murf.ai&amp;sz=64")</f>
        <v/>
      </c>
      <c r="B80" s="6" t="inlineStr">
        <is>
          <t>Murf AI</t>
        </is>
      </c>
      <c r="C80" s="7" t="inlineStr">
        <is>
          <t>Paid</t>
        </is>
      </c>
      <c r="D80" s="8" t="inlineStr">
        <is>
          <t>murf.ai</t>
        </is>
      </c>
      <c r="E80" s="7" t="inlineStr">
        <is>
          <t>Studio-style voiceover platform for business content</t>
        </is>
      </c>
      <c r="F80" s="7" t="inlineStr">
        <is>
          <t>From $19/mo</t>
        </is>
      </c>
      <c r="G80" s="7" t="inlineStr">
        <is>
          <t>No</t>
        </is>
      </c>
      <c r="H80" s="7" t="inlineStr">
        <is>
          <t>Easy studio editor; team features</t>
        </is>
      </c>
      <c r="I80" s="7" t="inlineStr">
        <is>
          <t>Less natural than ElevenLabs</t>
        </is>
      </c>
      <c r="J80" s="7" t="inlineStr">
        <is>
          <t>Corporate e-learning voiceovers</t>
        </is>
      </c>
      <c r="K80" s="5" t="n">
        <v>5</v>
      </c>
      <c r="L80" s="5" t="n">
        <v>6</v>
      </c>
      <c r="M80" s="5" t="n">
        <v>7</v>
      </c>
      <c r="N80" s="5" t="n">
        <v>6</v>
      </c>
      <c r="O80" s="5" t="n">
        <v>9</v>
      </c>
    </row>
    <row r="81" ht="58" customHeight="1">
      <c r="A81" s="5">
        <f>IMAGE("https://www.google.com/s2/favicons?domain=suno.com&amp;sz=64")</f>
        <v/>
      </c>
      <c r="B81" s="6" t="inlineStr">
        <is>
          <t>Suno</t>
        </is>
      </c>
      <c r="C81" s="7" t="inlineStr">
        <is>
          <t>Freemium</t>
        </is>
      </c>
      <c r="D81" s="8" t="inlineStr">
        <is>
          <t>suno.com</t>
        </is>
      </c>
      <c r="E81" s="7" t="inlineStr">
        <is>
          <t>Full-song AI music generation (vocals + instruments) from prompts</t>
        </is>
      </c>
      <c r="F81" s="7" t="inlineStr">
        <is>
          <t>Free; Pro $10/mo</t>
        </is>
      </c>
      <c r="G81" s="7" t="inlineStr">
        <is>
          <t>No</t>
        </is>
      </c>
      <c r="H81" s="7" t="inlineStr">
        <is>
          <t>Astonishing full songs; easy</t>
        </is>
      </c>
      <c r="I81" s="7" t="inlineStr">
        <is>
          <t>Licensing questions; style ceiling</t>
        </is>
      </c>
      <c r="J81" s="7" t="inlineStr">
        <is>
          <t>Content creators needing custom music</t>
        </is>
      </c>
      <c r="K81" s="5" t="n">
        <v>4</v>
      </c>
      <c r="L81" s="5" t="n">
        <v>7</v>
      </c>
      <c r="M81" s="5" t="n">
        <v>9</v>
      </c>
      <c r="N81" s="5" t="n">
        <v>6.7</v>
      </c>
      <c r="O81" s="5" t="n">
        <v>4</v>
      </c>
    </row>
    <row r="82" ht="58" customHeight="1">
      <c r="A82" s="5">
        <f>IMAGE("https://www.google.com/s2/favicons?domain=udio.com&amp;sz=64")</f>
        <v/>
      </c>
      <c r="B82" s="6" t="inlineStr">
        <is>
          <t>Udio</t>
        </is>
      </c>
      <c r="C82" s="7" t="inlineStr">
        <is>
          <t>Freemium</t>
        </is>
      </c>
      <c r="D82" s="8" t="inlineStr">
        <is>
          <t>udio.com</t>
        </is>
      </c>
      <c r="E82" s="7" t="inlineStr">
        <is>
          <t>High-fidelity AI music generation, strong on audio quality</t>
        </is>
      </c>
      <c r="F82" s="7" t="inlineStr">
        <is>
          <t>Free; from $10/mo</t>
        </is>
      </c>
      <c r="G82" s="7" t="inlineStr">
        <is>
          <t>No</t>
        </is>
      </c>
      <c r="H82" s="7" t="inlineStr">
        <is>
          <t>Audio fidelity; remix tools</t>
        </is>
      </c>
      <c r="I82" s="7" t="inlineStr">
        <is>
          <t>Smaller user base; same licensing caveats</t>
        </is>
      </c>
      <c r="J82" s="7" t="inlineStr">
        <is>
          <t>Musicians sketching ideas</t>
        </is>
      </c>
      <c r="K82" s="5" t="n">
        <v>4</v>
      </c>
      <c r="L82" s="5" t="n">
        <v>7</v>
      </c>
      <c r="M82" s="5" t="n">
        <v>8</v>
      </c>
      <c r="N82" s="5" t="n">
        <v>6.3</v>
      </c>
      <c r="O82" s="5" t="n">
        <v>5</v>
      </c>
    </row>
    <row r="83" ht="58" customHeight="1">
      <c r="A83" s="5">
        <f>IMAGE("https://www.google.com/s2/favicons?domain=podcast.adobe.com&amp;sz=64")</f>
        <v/>
      </c>
      <c r="B83" s="6" t="inlineStr">
        <is>
          <t>Adobe Podcast</t>
        </is>
      </c>
      <c r="C83" s="7" t="inlineStr">
        <is>
          <t>Freemium</t>
        </is>
      </c>
      <c r="D83" s="8" t="inlineStr">
        <is>
          <t>podcast.adobe.com</t>
        </is>
      </c>
      <c r="E83" s="7" t="inlineStr">
        <is>
          <t>One-click studio-quality speech enhancement in the browser</t>
        </is>
      </c>
      <c r="F83" s="7" t="inlineStr">
        <is>
          <t>Free; Express/CC plans</t>
        </is>
      </c>
      <c r="G83" s="7" t="inlineStr">
        <is>
          <t>No</t>
        </is>
      </c>
      <c r="H83" s="7" t="inlineStr">
        <is>
          <t>Magic noise/echo removal; free tier</t>
        </is>
      </c>
      <c r="I83" s="7" t="inlineStr">
        <is>
          <t>Enhancement only</t>
        </is>
      </c>
      <c r="J83" s="7" t="inlineStr">
        <is>
          <t>Anyone recording voice on cheap mics</t>
        </is>
      </c>
      <c r="K83" s="5" t="n">
        <v>4</v>
      </c>
      <c r="L83" s="5" t="n">
        <v>8</v>
      </c>
      <c r="M83" s="5" t="n">
        <v>7</v>
      </c>
      <c r="N83" s="5" t="n">
        <v>6.3</v>
      </c>
      <c r="O83" s="5" t="n">
        <v>6</v>
      </c>
    </row>
    <row r="84" ht="58" customHeight="1">
      <c r="A84" s="9">
        <f>IMAGE("https://www.google.com/s2/favicons?domain=github.com&amp;sz=64")</f>
        <v/>
      </c>
      <c r="B84" s="10" t="inlineStr">
        <is>
          <t>Whisper</t>
        </is>
      </c>
      <c r="C84" s="11" t="inlineStr">
        <is>
          <t>Open source (GitHub)</t>
        </is>
      </c>
      <c r="D84" s="12" t="inlineStr">
        <is>
          <t>github.com/openai/whisper</t>
        </is>
      </c>
      <c r="E84" s="11" t="inlineStr">
        <is>
          <t>OpenAI's open-source speech-to-text — the standard for transcription</t>
        </is>
      </c>
      <c r="F84" s="11" t="inlineStr">
        <is>
          <t>Free (self-host)</t>
        </is>
      </c>
      <c r="G84" s="11" t="inlineStr">
        <is>
          <t>Partial — pairs with Claude for summarisation pipelines</t>
        </is>
      </c>
      <c r="H84" s="11" t="inlineStr">
        <is>
          <t>Free accurate multilingual STT; runs locally</t>
        </is>
      </c>
      <c r="I84" s="11" t="inlineStr">
        <is>
          <t>No diarisation out of box; GPU helps</t>
        </is>
      </c>
      <c r="J84" s="11" t="inlineStr">
        <is>
          <t>Developers building transcription anything</t>
        </is>
      </c>
      <c r="K84" s="9" t="n">
        <v>7</v>
      </c>
      <c r="L84" s="9" t="n">
        <v>10</v>
      </c>
      <c r="M84" s="9" t="n">
        <v>8</v>
      </c>
      <c r="N84" s="9" t="n">
        <v>8.300000000000001</v>
      </c>
      <c r="O84" s="9" t="n">
        <v>2</v>
      </c>
    </row>
    <row r="85" ht="58" customHeight="1">
      <c r="A85" s="9">
        <f>IMAGE("https://www.google.com/s2/favicons?domain=github.com&amp;sz=64")</f>
        <v/>
      </c>
      <c r="B85" s="10" t="inlineStr">
        <is>
          <t>Coqui XTTS</t>
        </is>
      </c>
      <c r="C85" s="11" t="inlineStr">
        <is>
          <t>Open source (GitHub)</t>
        </is>
      </c>
      <c r="D85" s="12" t="inlineStr">
        <is>
          <t>github.com/coqui-ai/TTS</t>
        </is>
      </c>
      <c r="E85" s="11" t="inlineStr">
        <is>
          <t>Open-source multilingual TTS with voice cloning</t>
        </is>
      </c>
      <c r="F85" s="11" t="inlineStr">
        <is>
          <t>Free (self-host)</t>
        </is>
      </c>
      <c r="G85" s="11" t="inlineStr">
        <is>
          <t>No</t>
        </is>
      </c>
      <c r="H85" s="11" t="inlineStr">
        <is>
          <t>Free voice cloning; 16 languages</t>
        </is>
      </c>
      <c r="I85" s="11" t="inlineStr">
        <is>
          <t>Project archived (community forks); setup work</t>
        </is>
      </c>
      <c r="J85" s="11" t="inlineStr">
        <is>
          <t>Self-hosted TTS builders</t>
        </is>
      </c>
      <c r="K85" s="9" t="n">
        <v>4</v>
      </c>
      <c r="L85" s="9" t="n">
        <v>9</v>
      </c>
      <c r="M85" s="9" t="n">
        <v>6</v>
      </c>
      <c r="N85" s="9" t="n">
        <v>6.3</v>
      </c>
      <c r="O85" s="9" t="n">
        <v>7</v>
      </c>
    </row>
    <row r="86" ht="58" customHeight="1">
      <c r="A86" s="9">
        <f>IMAGE("https://www.google.com/s2/favicons?domain=github.com&amp;sz=64")</f>
        <v/>
      </c>
      <c r="B86" s="10" t="inlineStr">
        <is>
          <t>Piper</t>
        </is>
      </c>
      <c r="C86" s="11" t="inlineStr">
        <is>
          <t>Open source (GitHub)</t>
        </is>
      </c>
      <c r="D86" s="12" t="inlineStr">
        <is>
          <t>github.com/rhasspy/piper</t>
        </is>
      </c>
      <c r="E86" s="11" t="inlineStr">
        <is>
          <t>Fast, lightweight local neural TTS (runs on a Raspberry Pi)</t>
        </is>
      </c>
      <c r="F86" s="11" t="inlineStr">
        <is>
          <t>Free</t>
        </is>
      </c>
      <c r="G86" s="11" t="inlineStr">
        <is>
          <t>No</t>
        </is>
      </c>
      <c r="H86" s="11" t="inlineStr">
        <is>
          <t>Tiny, fast, offline</t>
        </is>
      </c>
      <c r="I86" s="11" t="inlineStr">
        <is>
          <t>Robotic vs ElevenLabs</t>
        </is>
      </c>
      <c r="J86" s="11" t="inlineStr">
        <is>
          <t>Home-automation and embedded voice</t>
        </is>
      </c>
      <c r="K86" s="9" t="n">
        <v>4</v>
      </c>
      <c r="L86" s="9" t="n">
        <v>10</v>
      </c>
      <c r="M86" s="9" t="n">
        <v>5</v>
      </c>
      <c r="N86" s="9" t="n">
        <v>6.3</v>
      </c>
      <c r="O86" s="9" t="n">
        <v>8</v>
      </c>
    </row>
    <row r="87" ht="58" customHeight="1">
      <c r="A87" s="9">
        <f>IMAGE("https://www.google.com/s2/favicons?domain=github.com&amp;sz=64")</f>
        <v/>
      </c>
      <c r="B87" s="10" t="inlineStr">
        <is>
          <t>Kokoro TTS</t>
        </is>
      </c>
      <c r="C87" s="11" t="inlineStr">
        <is>
          <t>Open source (GitHub)</t>
        </is>
      </c>
      <c r="D87" s="12" t="inlineStr">
        <is>
          <t>github.com/hexgrad/kokoro</t>
        </is>
      </c>
      <c r="E87" s="11" t="inlineStr">
        <is>
          <t>Tiny (82M) Apache-licensed TTS with surprisingly natural voices</t>
        </is>
      </c>
      <c r="F87" s="11" t="inlineStr">
        <is>
          <t>Free</t>
        </is>
      </c>
      <c r="G87" s="11" t="inlineStr">
        <is>
          <t>No</t>
        </is>
      </c>
      <c r="H87" s="11" t="inlineStr">
        <is>
          <t>Near-commercial quality, Apache 2.0, runs anywhere</t>
        </is>
      </c>
      <c r="I87" s="11" t="inlineStr">
        <is>
          <t>English-centric; no cloning</t>
        </is>
      </c>
      <c r="J87" s="11" t="inlineStr">
        <is>
          <t>Apps needing free embedded natural TTS</t>
        </is>
      </c>
      <c r="K87" s="9" t="n">
        <v>5</v>
      </c>
      <c r="L87" s="9" t="n">
        <v>10</v>
      </c>
      <c r="M87" s="9" t="n">
        <v>7</v>
      </c>
      <c r="N87" s="9" t="n">
        <v>7.3</v>
      </c>
      <c r="O87" s="9" t="n">
        <v>3</v>
      </c>
    </row>
    <row r="88" ht="22" customHeight="1">
      <c r="A88" s="4" t="inlineStr">
        <is>
          <t>AI Presentations</t>
        </is>
      </c>
    </row>
    <row r="89" ht="58" customHeight="1">
      <c r="A89" s="5">
        <f>IMAGE("https://www.google.com/s2/favicons?domain=gamma.app&amp;sz=64")</f>
        <v/>
      </c>
      <c r="B89" s="6" t="inlineStr">
        <is>
          <t>Gamma</t>
        </is>
      </c>
      <c r="C89" s="7" t="inlineStr">
        <is>
          <t>Freemium</t>
        </is>
      </c>
      <c r="D89" s="8" t="inlineStr">
        <is>
          <t>gamma.app</t>
        </is>
      </c>
      <c r="E89" s="7" t="inlineStr">
        <is>
          <t>Prompt-to-deck/doc/website with modern card-based design</t>
        </is>
      </c>
      <c r="F89" s="7" t="inlineStr">
        <is>
          <t>Free; Plus $10/mo; Pro $20/mo</t>
        </is>
      </c>
      <c r="G89" s="7" t="inlineStr">
        <is>
          <t>Partial — API (beta) + Zapier; paste Claude outlines</t>
        </is>
      </c>
      <c r="H89" s="7" t="inlineStr">
        <is>
          <t>Best-looking instant decks; also docs &amp; sites</t>
        </is>
      </c>
      <c r="I89" s="7" t="inlineStr">
        <is>
          <t>Card format ≠ classic PPT; export quirks</t>
        </is>
      </c>
      <c r="J89" s="7" t="inlineStr">
        <is>
          <t>Anyone making decks fast</t>
        </is>
      </c>
      <c r="K89" s="5" t="n">
        <v>7</v>
      </c>
      <c r="L89" s="5" t="n">
        <v>8</v>
      </c>
      <c r="M89" s="5" t="n">
        <v>9</v>
      </c>
      <c r="N89" s="5" t="n">
        <v>8</v>
      </c>
      <c r="O89" s="5" t="n">
        <v>2</v>
      </c>
    </row>
    <row r="90" ht="58" customHeight="1">
      <c r="A90" s="5">
        <f>IMAGE("https://www.google.com/s2/favicons?domain=beautiful.ai&amp;sz=64")</f>
        <v/>
      </c>
      <c r="B90" s="6" t="inlineStr">
        <is>
          <t>Beautiful.ai</t>
        </is>
      </c>
      <c r="C90" s="7" t="inlineStr">
        <is>
          <t>Paid</t>
        </is>
      </c>
      <c r="D90" s="8" t="inlineStr">
        <is>
          <t>beautiful.ai</t>
        </is>
      </c>
      <c r="E90" s="7" t="inlineStr">
        <is>
          <t>Slide tool with smart templates that auto-apply design rules</t>
        </is>
      </c>
      <c r="F90" s="7" t="inlineStr">
        <is>
          <t>Pro $12/mo; Team $40/user/mo</t>
        </is>
      </c>
      <c r="G90" s="7" t="inlineStr">
        <is>
          <t>No</t>
        </is>
      </c>
      <c r="H90" s="7" t="inlineStr">
        <is>
          <t>Designs stay on-grid automatically; DesignerBot</t>
        </is>
      </c>
      <c r="I90" s="7" t="inlineStr">
        <is>
          <t>No free tier; rigid templates</t>
        </is>
      </c>
      <c r="J90" s="7" t="inlineStr">
        <is>
          <t>Consultants and sales teams</t>
        </is>
      </c>
      <c r="K90" s="5" t="n">
        <v>5</v>
      </c>
      <c r="L90" s="5" t="n">
        <v>6</v>
      </c>
      <c r="M90" s="5" t="n">
        <v>7</v>
      </c>
      <c r="N90" s="5" t="n">
        <v>6</v>
      </c>
      <c r="O90" s="5" t="n">
        <v>7</v>
      </c>
    </row>
    <row r="91" ht="58" customHeight="1">
      <c r="A91" s="5">
        <f>IMAGE("https://www.google.com/s2/favicons?domain=pitch.com&amp;sz=64")</f>
        <v/>
      </c>
      <c r="B91" s="6" t="inlineStr">
        <is>
          <t>Pitch</t>
        </is>
      </c>
      <c r="C91" s="7" t="inlineStr">
        <is>
          <t>Freemium</t>
        </is>
      </c>
      <c r="D91" s="8" t="inlineStr">
        <is>
          <t>pitch.com</t>
        </is>
      </c>
      <c r="E91" s="7" t="inlineStr">
        <is>
          <t>Collaborative presentation software with AI generation and analytics</t>
        </is>
      </c>
      <c r="F91" s="7" t="inlineStr">
        <is>
          <t>Free; Pro $22/mo</t>
        </is>
      </c>
      <c r="G91" s="7" t="inlineStr">
        <is>
          <t>No</t>
        </is>
      </c>
      <c r="H91" s="7" t="inlineStr">
        <is>
          <t>Real-time collaboration; sharing analytics</t>
        </is>
      </c>
      <c r="I91" s="7" t="inlineStr">
        <is>
          <t>AI secondary to collaboration</t>
        </is>
      </c>
      <c r="J91" s="7" t="inlineStr">
        <is>
          <t>Startup and sales teams</t>
        </is>
      </c>
      <c r="K91" s="5" t="n">
        <v>5</v>
      </c>
      <c r="L91" s="5" t="n">
        <v>6</v>
      </c>
      <c r="M91" s="5" t="n">
        <v>7</v>
      </c>
      <c r="N91" s="5" t="n">
        <v>6</v>
      </c>
      <c r="O91" s="5" t="n">
        <v>8</v>
      </c>
    </row>
    <row r="92" ht="58" customHeight="1">
      <c r="A92" s="5">
        <f>IMAGE("https://www.google.com/s2/favicons?domain=plusai.com&amp;sz=64")</f>
        <v/>
      </c>
      <c r="B92" s="6" t="inlineStr">
        <is>
          <t>Plus AI</t>
        </is>
      </c>
      <c r="C92" s="7" t="inlineStr">
        <is>
          <t>Paid</t>
        </is>
      </c>
      <c r="D92" s="8" t="inlineStr">
        <is>
          <t>plusai.com</t>
        </is>
      </c>
      <c r="E92" s="7" t="inlineStr">
        <is>
          <t>AI deck generation inside Google Slides and PowerPoint</t>
        </is>
      </c>
      <c r="F92" s="7" t="inlineStr">
        <is>
          <t>From $10/mo</t>
        </is>
      </c>
      <c r="G92" s="7" t="inlineStr">
        <is>
          <t>No</t>
        </is>
      </c>
      <c r="H92" s="7" t="inlineStr">
        <is>
          <t>Lives in Slides/PPT — no new tool to learn</t>
        </is>
      </c>
      <c r="I92" s="7" t="inlineStr">
        <is>
          <t>Add-on constraints</t>
        </is>
      </c>
      <c r="J92" s="7" t="inlineStr">
        <is>
          <t>Teams locked into Google Slides/PPT</t>
        </is>
      </c>
      <c r="K92" s="5" t="n">
        <v>6</v>
      </c>
      <c r="L92" s="5" t="n">
        <v>7</v>
      </c>
      <c r="M92" s="5" t="n">
        <v>7</v>
      </c>
      <c r="N92" s="5" t="n">
        <v>6.7</v>
      </c>
      <c r="O92" s="5" t="n">
        <v>6</v>
      </c>
    </row>
    <row r="93" ht="58" customHeight="1">
      <c r="A93" s="5">
        <f>IMAGE("https://www.google.com/s2/favicons?domain=tome.app&amp;sz=64")</f>
        <v/>
      </c>
      <c r="B93" s="6" t="inlineStr">
        <is>
          <t>Tome</t>
        </is>
      </c>
      <c r="C93" s="7" t="inlineStr">
        <is>
          <t>Paid</t>
        </is>
      </c>
      <c r="D93" s="8" t="inlineStr">
        <is>
          <t>tome.app</t>
        </is>
      </c>
      <c r="E93" s="7" t="inlineStr">
        <is>
          <t>AI storytelling decks (since pivoted toward sales intelligence)</t>
        </is>
      </c>
      <c r="F93" s="7" t="inlineStr">
        <is>
          <t>Pro ~$20/mo</t>
        </is>
      </c>
      <c r="G93" s="7" t="inlineStr">
        <is>
          <t>No</t>
        </is>
      </c>
      <c r="H93" s="7" t="inlineStr">
        <is>
          <t>Beautiful narrative format</t>
        </is>
      </c>
      <c r="I93" s="7" t="inlineStr">
        <is>
          <t>Pivoted away from presentations — risky bet</t>
        </is>
      </c>
      <c r="J93" s="7" t="inlineStr">
        <is>
          <t>Early adopters of narrative decks</t>
        </is>
      </c>
      <c r="K93" s="5" t="n">
        <v>3</v>
      </c>
      <c r="L93" s="5" t="n">
        <v>5</v>
      </c>
      <c r="M93" s="5" t="n">
        <v>5</v>
      </c>
      <c r="N93" s="5" t="n">
        <v>4.3</v>
      </c>
      <c r="O93" s="5" t="n">
        <v>12</v>
      </c>
    </row>
    <row r="94" ht="58" customHeight="1">
      <c r="A94" s="5">
        <f>IMAGE("https://www.google.com/s2/favicons?domain=popai.pro&amp;sz=64")</f>
        <v/>
      </c>
      <c r="B94" s="6" t="inlineStr">
        <is>
          <t>PopAi</t>
        </is>
      </c>
      <c r="C94" s="7" t="inlineStr">
        <is>
          <t>Freemium</t>
        </is>
      </c>
      <c r="D94" s="8" t="inlineStr">
        <is>
          <t>popai.pro</t>
        </is>
      </c>
      <c r="E94" s="7" t="inlineStr">
        <is>
          <t>AI workspace: chat with docs, generate slides and images</t>
        </is>
      </c>
      <c r="F94" s="7" t="inlineStr">
        <is>
          <t>Free; from $10/mo</t>
        </is>
      </c>
      <c r="G94" s="7" t="inlineStr">
        <is>
          <t>No</t>
        </is>
      </c>
      <c r="H94" s="7" t="inlineStr">
        <is>
          <t>Cheap all-in-one doc chat + slides</t>
        </is>
      </c>
      <c r="I94" s="7" t="inlineStr">
        <is>
          <t>Master of none</t>
        </is>
      </c>
      <c r="J94" s="7" t="inlineStr">
        <is>
          <t>Students and generalists</t>
        </is>
      </c>
      <c r="K94" s="5" t="n">
        <v>4</v>
      </c>
      <c r="L94" s="5" t="n">
        <v>7</v>
      </c>
      <c r="M94" s="5" t="n">
        <v>6</v>
      </c>
      <c r="N94" s="5" t="n">
        <v>5.7</v>
      </c>
      <c r="O94" s="5" t="n">
        <v>9</v>
      </c>
    </row>
    <row r="95" ht="58" customHeight="1">
      <c r="A95" s="5">
        <f>IMAGE("https://www.google.com/s2/favicons?domain=presentations.ai&amp;sz=64")</f>
        <v/>
      </c>
      <c r="B95" s="6" t="inlineStr">
        <is>
          <t>Presentations.AI</t>
        </is>
      </c>
      <c r="C95" s="7" t="inlineStr">
        <is>
          <t>Freemium</t>
        </is>
      </c>
      <c r="D95" s="8" t="inlineStr">
        <is>
          <t>presentations.ai</t>
        </is>
      </c>
      <c r="E95" s="7" t="inlineStr">
        <is>
          <t>ChatGPT-style deck generation with brand sync and templates</t>
        </is>
      </c>
      <c r="F95" s="7" t="inlineStr">
        <is>
          <t>Free; from $10/mo</t>
        </is>
      </c>
      <c r="G95" s="7" t="inlineStr">
        <is>
          <t>No</t>
        </is>
      </c>
      <c r="H95" s="7" t="inlineStr">
        <is>
          <t>Anti-fragile templates; brand kits</t>
        </is>
      </c>
      <c r="I95" s="7" t="inlineStr">
        <is>
          <t>Newer player; export fidelity</t>
        </is>
      </c>
      <c r="J95" s="7" t="inlineStr">
        <is>
          <t>SMB pitch decks</t>
        </is>
      </c>
      <c r="K95" s="5" t="n">
        <v>4</v>
      </c>
      <c r="L95" s="5" t="n">
        <v>7</v>
      </c>
      <c r="M95" s="5" t="n">
        <v>6</v>
      </c>
      <c r="N95" s="5" t="n">
        <v>5.7</v>
      </c>
      <c r="O95" s="5" t="n">
        <v>10</v>
      </c>
    </row>
    <row r="96" ht="58" customHeight="1">
      <c r="A96" s="5">
        <f>IMAGE("https://www.google.com/s2/favicons?domain=slidesgo.com&amp;sz=64")</f>
        <v/>
      </c>
      <c r="B96" s="6" t="inlineStr">
        <is>
          <t>Slidesgo</t>
        </is>
      </c>
      <c r="C96" s="7" t="inlineStr">
        <is>
          <t>Freemium</t>
        </is>
      </c>
      <c r="D96" s="8" t="inlineStr">
        <is>
          <t>slidesgo.com</t>
        </is>
      </c>
      <c r="E96" s="7" t="inlineStr">
        <is>
          <t>Huge template library (Freepik) with an AI presentation maker</t>
        </is>
      </c>
      <c r="F96" s="7" t="inlineStr">
        <is>
          <t>Free; Premium ~$5/mo</t>
        </is>
      </c>
      <c r="G96" s="7" t="inlineStr">
        <is>
          <t>No</t>
        </is>
      </c>
      <c r="H96" s="7" t="inlineStr">
        <is>
          <t>Massive template variety; cheap</t>
        </is>
      </c>
      <c r="I96" s="7" t="inlineStr">
        <is>
          <t>AI maker is basic</t>
        </is>
      </c>
      <c r="J96" s="7" t="inlineStr">
        <is>
          <t>Teachers and template lovers</t>
        </is>
      </c>
      <c r="K96" s="5" t="n">
        <v>3</v>
      </c>
      <c r="L96" s="5" t="n">
        <v>8</v>
      </c>
      <c r="M96" s="5" t="n">
        <v>5</v>
      </c>
      <c r="N96" s="5" t="n">
        <v>5.3</v>
      </c>
      <c r="O96" s="5" t="n">
        <v>11</v>
      </c>
    </row>
    <row r="97" ht="58" customHeight="1">
      <c r="A97" s="9">
        <f>IMAGE("https://www.google.com/s2/favicons?domain=github.com&amp;sz=64")</f>
        <v/>
      </c>
      <c r="B97" s="10" t="inlineStr">
        <is>
          <t>Slidev</t>
        </is>
      </c>
      <c r="C97" s="11" t="inlineStr">
        <is>
          <t>Open source (GitHub)</t>
        </is>
      </c>
      <c r="D97" s="12" t="inlineStr">
        <is>
          <t>github.com/slidevjs/slidev</t>
        </is>
      </c>
      <c r="E97" s="11" t="inlineStr">
        <is>
          <t>Markdown-based developer presentation framework (Vue-powered)</t>
        </is>
      </c>
      <c r="F97" s="11" t="inlineStr">
        <is>
          <t>Free</t>
        </is>
      </c>
      <c r="G97" s="11" t="inlineStr">
        <is>
          <t>Yes — Claude/Claude Code writes Slidev markdown decks directly</t>
        </is>
      </c>
      <c r="H97" s="11" t="inlineStr">
        <is>
          <t>Decks as code; version control; live coding</t>
        </is>
      </c>
      <c r="I97" s="11" t="inlineStr">
        <is>
          <t>Developers only; no GUI design</t>
        </is>
      </c>
      <c r="J97" s="11" t="inlineStr">
        <is>
          <t>Developer talks and tech demos</t>
        </is>
      </c>
      <c r="K97" s="9" t="n">
        <v>8</v>
      </c>
      <c r="L97" s="9" t="n">
        <v>10</v>
      </c>
      <c r="M97" s="9" t="n">
        <v>7</v>
      </c>
      <c r="N97" s="9" t="n">
        <v>8.300000000000001</v>
      </c>
      <c r="O97" s="9" t="n">
        <v>1</v>
      </c>
    </row>
    <row r="98" ht="58" customHeight="1">
      <c r="A98" s="9">
        <f>IMAGE("https://www.google.com/s2/favicons?domain=github.com&amp;sz=64")</f>
        <v/>
      </c>
      <c r="B98" s="10" t="inlineStr">
        <is>
          <t>Marp</t>
        </is>
      </c>
      <c r="C98" s="11" t="inlineStr">
        <is>
          <t>Open source (GitHub)</t>
        </is>
      </c>
      <c r="D98" s="12" t="inlineStr">
        <is>
          <t>github.com/marp-team/marp</t>
        </is>
      </c>
      <c r="E98" s="11" t="inlineStr">
        <is>
          <t>Markdown-to-slides ecosystem with VS Code integration and PDF export</t>
        </is>
      </c>
      <c r="F98" s="11" t="inlineStr">
        <is>
          <t>Free</t>
        </is>
      </c>
      <c r="G98" s="11" t="inlineStr">
        <is>
          <t>Yes — Claude generates Marp markdown perfectly</t>
        </is>
      </c>
      <c r="H98" s="11" t="inlineStr">
        <is>
          <t>Simple, scriptable, CI-friendly</t>
        </is>
      </c>
      <c r="I98" s="11" t="inlineStr">
        <is>
          <t>Plain aesthetics out of box</t>
        </is>
      </c>
      <c r="J98" s="11" t="inlineStr">
        <is>
          <t>Docs-as-code teams</t>
        </is>
      </c>
      <c r="K98" s="9" t="n">
        <v>7</v>
      </c>
      <c r="L98" s="9" t="n">
        <v>10</v>
      </c>
      <c r="M98" s="9" t="n">
        <v>6</v>
      </c>
      <c r="N98" s="9" t="n">
        <v>7.7</v>
      </c>
      <c r="O98" s="9" t="n">
        <v>3</v>
      </c>
    </row>
    <row r="99" ht="58" customHeight="1">
      <c r="A99" s="9">
        <f>IMAGE("https://www.google.com/s2/favicons?domain=github.com&amp;sz=64")</f>
        <v/>
      </c>
      <c r="B99" s="10" t="inlineStr">
        <is>
          <t>reveal.js</t>
        </is>
      </c>
      <c r="C99" s="11" t="inlineStr">
        <is>
          <t>Open source (GitHub)</t>
        </is>
      </c>
      <c r="D99" s="12" t="inlineStr">
        <is>
          <t>github.com/hakimel/reveal.js</t>
        </is>
      </c>
      <c r="E99" s="11" t="inlineStr">
        <is>
          <t>The classic HTML presentation framework</t>
        </is>
      </c>
      <c r="F99" s="11" t="inlineStr">
        <is>
          <t>Free</t>
        </is>
      </c>
      <c r="G99" s="11" t="inlineStr">
        <is>
          <t>Yes — Claude writes reveal.js HTML decks</t>
        </is>
      </c>
      <c r="H99" s="11" t="inlineStr">
        <is>
          <t>Full web power in slides; mature</t>
        </is>
      </c>
      <c r="I99" s="11" t="inlineStr">
        <is>
          <t>HTML/CSS knowledge needed</t>
        </is>
      </c>
      <c r="J99" s="11" t="inlineStr">
        <is>
          <t>Web developers</t>
        </is>
      </c>
      <c r="K99" s="9" t="n">
        <v>6</v>
      </c>
      <c r="L99" s="9" t="n">
        <v>10</v>
      </c>
      <c r="M99" s="9" t="n">
        <v>6</v>
      </c>
      <c r="N99" s="9" t="n">
        <v>7.3</v>
      </c>
      <c r="O99" s="9" t="n">
        <v>4</v>
      </c>
    </row>
    <row r="100" ht="58" customHeight="1">
      <c r="A100" s="9">
        <f>IMAGE("https://www.google.com/s2/favicons?domain=github.com&amp;sz=64")</f>
        <v/>
      </c>
      <c r="B100" s="10" t="inlineStr">
        <is>
          <t>Presenton</t>
        </is>
      </c>
      <c r="C100" s="11" t="inlineStr">
        <is>
          <t>Open source (GitHub)</t>
        </is>
      </c>
      <c r="D100" s="12" t="inlineStr">
        <is>
          <t>github.com/presenton/presenton</t>
        </is>
      </c>
      <c r="E100" s="11" t="inlineStr">
        <is>
          <t>Self-hosted open-source AI presentation generator (Gamma alternative)</t>
        </is>
      </c>
      <c r="F100" s="11" t="inlineStr">
        <is>
          <t>Free (self-host) + your API keys</t>
        </is>
      </c>
      <c r="G100" s="11" t="inlineStr">
        <is>
          <t>Yes — bring Anthropic API key</t>
        </is>
      </c>
      <c r="H100" s="11" t="inlineStr">
        <is>
          <t>Private Gamma-style generation; your keys, your data</t>
        </is>
      </c>
      <c r="I100" s="11" t="inlineStr">
        <is>
          <t>Young project; self-host effort</t>
        </is>
      </c>
      <c r="J100" s="11" t="inlineStr">
        <is>
          <t>Teams wanting private AI deck generation</t>
        </is>
      </c>
      <c r="K100" s="9" t="n">
        <v>6</v>
      </c>
      <c r="L100" s="9" t="n">
        <v>9</v>
      </c>
      <c r="M100" s="9" t="n">
        <v>6</v>
      </c>
      <c r="N100" s="9" t="n">
        <v>7</v>
      </c>
      <c r="O100" s="9" t="n">
        <v>5</v>
      </c>
    </row>
    <row r="101" ht="22" customHeight="1">
      <c r="A101" s="4" t="inlineStr">
        <is>
          <t>AI Graphic Design</t>
        </is>
      </c>
    </row>
    <row r="102" ht="58" customHeight="1">
      <c r="A102" s="5">
        <f>IMAGE("https://www.google.com/s2/favicons?domain=canva.com&amp;sz=64")</f>
        <v/>
      </c>
      <c r="B102" s="6" t="inlineStr">
        <is>
          <t>Canva</t>
        </is>
      </c>
      <c r="C102" s="7" t="inlineStr">
        <is>
          <t>Freemium</t>
        </is>
      </c>
      <c r="D102" s="8" t="inlineStr">
        <is>
          <t>canva.com</t>
        </is>
      </c>
      <c r="E102" s="7" t="inlineStr">
        <is>
          <t>All-in-one design platform with Magic Studio AI suite</t>
        </is>
      </c>
      <c r="F102" s="7" t="inlineStr">
        <is>
          <t>Free; Pro $15/mo</t>
        </is>
      </c>
      <c r="G102" s="7" t="inlineStr">
        <is>
          <t>Yes — official Canva connector/MCP for Claude</t>
        </is>
      </c>
      <c r="H102" s="7" t="inlineStr">
        <is>
          <t>Easiest design tool; AI everywhere; huge templates</t>
        </is>
      </c>
      <c r="I102" s="7" t="inlineStr">
        <is>
          <t>Pro designers find it limiting</t>
        </is>
      </c>
      <c r="J102" s="7" t="inlineStr">
        <is>
          <t>Non-designers and SMBs</t>
        </is>
      </c>
      <c r="K102" s="5" t="n">
        <v>9</v>
      </c>
      <c r="L102" s="5" t="n">
        <v>8</v>
      </c>
      <c r="M102" s="5" t="n">
        <v>9</v>
      </c>
      <c r="N102" s="5" t="n">
        <v>8.699999999999999</v>
      </c>
      <c r="O102" s="5" t="n">
        <v>1</v>
      </c>
    </row>
    <row r="103" ht="58" customHeight="1">
      <c r="A103" s="5">
        <f>IMAGE("https://www.google.com/s2/favicons?domain=figma.com&amp;sz=64")</f>
        <v/>
      </c>
      <c r="B103" s="6" t="inlineStr">
        <is>
          <t>Figma</t>
        </is>
      </c>
      <c r="C103" s="7" t="inlineStr">
        <is>
          <t>Freemium</t>
        </is>
      </c>
      <c r="D103" s="8" t="inlineStr">
        <is>
          <t>figma.com</t>
        </is>
      </c>
      <c r="E103" s="7" t="inlineStr">
        <is>
          <t>Collaborative interface design with AI features and Figma Make</t>
        </is>
      </c>
      <c r="F103" s="7" t="inlineStr">
        <is>
          <t>Free; from $16/user/mo</t>
        </is>
      </c>
      <c r="G103" s="7" t="inlineStr">
        <is>
          <t>Yes — official Figma MCP server (Dev Mode)</t>
        </is>
      </c>
      <c r="H103" s="7" t="inlineStr">
        <is>
          <t>Industry standard UI design; Claude can read designs via MCP</t>
        </is>
      </c>
      <c r="I103" s="7" t="inlineStr">
        <is>
          <t>Learning curve; cost stacks per editor</t>
        </is>
      </c>
      <c r="J103" s="7" t="inlineStr">
        <is>
          <t>Product designers and dev teams</t>
        </is>
      </c>
      <c r="K103" s="5" t="n">
        <v>9</v>
      </c>
      <c r="L103" s="5" t="n">
        <v>7</v>
      </c>
      <c r="M103" s="5" t="n">
        <v>9</v>
      </c>
      <c r="N103" s="5" t="n">
        <v>8.300000000000001</v>
      </c>
      <c r="O103" s="5" t="n">
        <v>2</v>
      </c>
    </row>
    <row r="104" ht="58" customHeight="1">
      <c r="A104" s="9">
        <f>IMAGE("https://www.google.com/s2/favicons?domain=designer.microsoft.com&amp;sz=64")</f>
        <v/>
      </c>
      <c r="B104" s="10" t="inlineStr">
        <is>
          <t>Microsoft Designer</t>
        </is>
      </c>
      <c r="C104" s="11" t="inlineStr">
        <is>
          <t>Free</t>
        </is>
      </c>
      <c r="D104" s="12" t="inlineStr">
        <is>
          <t>designer.microsoft.com</t>
        </is>
      </c>
      <c r="E104" s="11" t="inlineStr">
        <is>
          <t>Free AI graphic design app (social posts, invites) from Microsoft</t>
        </is>
      </c>
      <c r="F104" s="11" t="inlineStr">
        <is>
          <t>Free (M365 perks)</t>
        </is>
      </c>
      <c r="G104" s="11" t="inlineStr">
        <is>
          <t>No</t>
        </is>
      </c>
      <c r="H104" s="11" t="inlineStr">
        <is>
          <t>Free; DALL-E powered; easy</t>
        </is>
      </c>
      <c r="I104" s="11" t="inlineStr">
        <is>
          <t>Basic vs Canva; consumer-grade</t>
        </is>
      </c>
      <c r="J104" s="11" t="inlineStr">
        <is>
          <t>Quick free social graphics</t>
        </is>
      </c>
      <c r="K104" s="9" t="n">
        <v>4</v>
      </c>
      <c r="L104" s="9" t="n">
        <v>9</v>
      </c>
      <c r="M104" s="9" t="n">
        <v>5</v>
      </c>
      <c r="N104" s="9" t="n">
        <v>6</v>
      </c>
      <c r="O104" s="9" t="n">
        <v>6</v>
      </c>
    </row>
    <row r="105" ht="58" customHeight="1">
      <c r="A105" s="5">
        <f>IMAGE("https://www.google.com/s2/favicons?domain=framer.com&amp;sz=64")</f>
        <v/>
      </c>
      <c r="B105" s="6" t="inlineStr">
        <is>
          <t>Framer</t>
        </is>
      </c>
      <c r="C105" s="7" t="inlineStr">
        <is>
          <t>Freemium</t>
        </is>
      </c>
      <c r="D105" s="8" t="inlineStr">
        <is>
          <t>framer.com</t>
        </is>
      </c>
      <c r="E105" s="7" t="inlineStr">
        <is>
          <t>AI website design/builder with production-quality output</t>
        </is>
      </c>
      <c r="F105" s="7" t="inlineStr">
        <is>
          <t>Free; from $10/mo</t>
        </is>
      </c>
      <c r="G105" s="7" t="inlineStr">
        <is>
          <t>Partial — community MCP/plugins</t>
        </is>
      </c>
      <c r="H105" s="7" t="inlineStr">
        <is>
          <t>Stunning sites without code; AI page gen</t>
        </is>
      </c>
      <c r="I105" s="7" t="inlineStr">
        <is>
          <t>Websites only; CMS limits by tier</t>
        </is>
      </c>
      <c r="J105" s="7" t="inlineStr">
        <is>
          <t>Designers shipping marketing sites</t>
        </is>
      </c>
      <c r="K105" s="5" t="n">
        <v>6</v>
      </c>
      <c r="L105" s="5" t="n">
        <v>7</v>
      </c>
      <c r="M105" s="5" t="n">
        <v>8</v>
      </c>
      <c r="N105" s="5" t="n">
        <v>7</v>
      </c>
      <c r="O105" s="5" t="n">
        <v>5</v>
      </c>
    </row>
    <row r="106" ht="58" customHeight="1">
      <c r="A106" s="5">
        <f>IMAGE("https://www.google.com/s2/favicons?domain=uizard.io&amp;sz=64")</f>
        <v/>
      </c>
      <c r="B106" s="6" t="inlineStr">
        <is>
          <t>Uizard</t>
        </is>
      </c>
      <c r="C106" s="7" t="inlineStr">
        <is>
          <t>Freemium</t>
        </is>
      </c>
      <c r="D106" s="8" t="inlineStr">
        <is>
          <t>uizard.io</t>
        </is>
      </c>
      <c r="E106" s="7" t="inlineStr">
        <is>
          <t>AI UI mockups: text/screenshot/sketch to editable designs</t>
        </is>
      </c>
      <c r="F106" s="7" t="inlineStr">
        <is>
          <t>Free; Pro $12/mo</t>
        </is>
      </c>
      <c r="G106" s="7" t="inlineStr">
        <is>
          <t>No</t>
        </is>
      </c>
      <c r="H106" s="7" t="inlineStr">
        <is>
          <t>Fastest wireframe-to-mockup path</t>
        </is>
      </c>
      <c r="I106" s="7" t="inlineStr">
        <is>
          <t>Output needs design polish; Miro acquisition transition</t>
        </is>
      </c>
      <c r="J106" s="7" t="inlineStr">
        <is>
          <t>PMs and founders mocking up ideas</t>
        </is>
      </c>
      <c r="K106" s="5" t="n">
        <v>4</v>
      </c>
      <c r="L106" s="5" t="n">
        <v>7</v>
      </c>
      <c r="M106" s="5" t="n">
        <v>6</v>
      </c>
      <c r="N106" s="5" t="n">
        <v>5.7</v>
      </c>
      <c r="O106" s="5" t="n">
        <v>8</v>
      </c>
    </row>
    <row r="107" ht="58" customHeight="1">
      <c r="A107" s="9">
        <f>IMAGE("https://www.google.com/s2/favicons?domain=autodraw.com&amp;sz=64")</f>
        <v/>
      </c>
      <c r="B107" s="10" t="inlineStr">
        <is>
          <t>AutoDraw</t>
        </is>
      </c>
      <c r="C107" s="11" t="inlineStr">
        <is>
          <t>Free</t>
        </is>
      </c>
      <c r="D107" s="12" t="inlineStr">
        <is>
          <t>autodraw.com</t>
        </is>
      </c>
      <c r="E107" s="11" t="inlineStr">
        <is>
          <t>Google's free sketch-recognition drawing toy</t>
        </is>
      </c>
      <c r="F107" s="11" t="inlineStr">
        <is>
          <t>Free</t>
        </is>
      </c>
      <c r="G107" s="11" t="inlineStr">
        <is>
          <t>No</t>
        </is>
      </c>
      <c r="H107" s="11" t="inlineStr">
        <is>
          <t>Free and fun</t>
        </is>
      </c>
      <c r="I107" s="11" t="inlineStr">
        <is>
          <t>Very basic</t>
        </is>
      </c>
      <c r="J107" s="11" t="inlineStr">
        <is>
          <t>Quick icons and doodles</t>
        </is>
      </c>
      <c r="K107" s="9" t="n">
        <v>2</v>
      </c>
      <c r="L107" s="9" t="n">
        <v>10</v>
      </c>
      <c r="M107" s="9" t="n">
        <v>3</v>
      </c>
      <c r="N107" s="9" t="n">
        <v>5</v>
      </c>
      <c r="O107" s="9" t="n">
        <v>9</v>
      </c>
    </row>
    <row r="108" ht="58" customHeight="1">
      <c r="A108" s="5">
        <f>IMAGE("https://www.google.com/s2/favicons?domain=design.com&amp;sz=64")</f>
        <v/>
      </c>
      <c r="B108" s="6" t="inlineStr">
        <is>
          <t>Design.com</t>
        </is>
      </c>
      <c r="C108" s="7" t="inlineStr">
        <is>
          <t>Freemium</t>
        </is>
      </c>
      <c r="D108" s="8" t="inlineStr">
        <is>
          <t>design.com</t>
        </is>
      </c>
      <c r="E108" s="7" t="inlineStr">
        <is>
          <t>AI logo and brand-kit generator</t>
        </is>
      </c>
      <c r="F108" s="7" t="inlineStr">
        <is>
          <t>Free previews; from ~$19</t>
        </is>
      </c>
      <c r="G108" s="7" t="inlineStr">
        <is>
          <t>No</t>
        </is>
      </c>
      <c r="H108" s="7" t="inlineStr">
        <is>
          <t>Quick logo + brand kit</t>
        </is>
      </c>
      <c r="I108" s="7" t="inlineStr">
        <is>
          <t>Generic results</t>
        </is>
      </c>
      <c r="J108" s="7" t="inlineStr">
        <is>
          <t>Microbusiness branding</t>
        </is>
      </c>
      <c r="K108" s="5" t="n">
        <v>3</v>
      </c>
      <c r="L108" s="5" t="n">
        <v>6</v>
      </c>
      <c r="M108" s="5" t="n">
        <v>4</v>
      </c>
      <c r="N108" s="5" t="n">
        <v>4.3</v>
      </c>
      <c r="O108" s="5" t="n">
        <v>10</v>
      </c>
    </row>
    <row r="109" ht="58" customHeight="1">
      <c r="A109" s="9">
        <f>IMAGE("https://www.google.com/s2/favicons?domain=github.com&amp;sz=64")</f>
        <v/>
      </c>
      <c r="B109" s="10" t="inlineStr">
        <is>
          <t>Penpot</t>
        </is>
      </c>
      <c r="C109" s="11" t="inlineStr">
        <is>
          <t>Open source (GitHub)</t>
        </is>
      </c>
      <c r="D109" s="12" t="inlineStr">
        <is>
          <t>github.com/penpot/penpot</t>
        </is>
      </c>
      <c r="E109" s="11" t="inlineStr">
        <is>
          <t>Open-source Figma alternative (design + prototyping), self-hostable</t>
        </is>
      </c>
      <c r="F109" s="11" t="inlineStr">
        <is>
          <t>Free; paid cloud options</t>
        </is>
      </c>
      <c r="G109" s="11" t="inlineStr">
        <is>
          <t>Partial — community MCP servers emerging</t>
        </is>
      </c>
      <c r="H109" s="11" t="inlineStr">
        <is>
          <t>Free unlimited design; SVG-native; no lock-in</t>
        </is>
      </c>
      <c r="I109" s="11" t="inlineStr">
        <is>
          <t>Smaller plugin ecosystem than Figma</t>
        </is>
      </c>
      <c r="J109" s="11" t="inlineStr">
        <is>
          <t>Teams wanting open-source design</t>
        </is>
      </c>
      <c r="K109" s="9" t="n">
        <v>6</v>
      </c>
      <c r="L109" s="9" t="n">
        <v>10</v>
      </c>
      <c r="M109" s="9" t="n">
        <v>7</v>
      </c>
      <c r="N109" s="9" t="n">
        <v>7.7</v>
      </c>
      <c r="O109" s="9" t="n">
        <v>4</v>
      </c>
    </row>
    <row r="110" ht="58" customHeight="1">
      <c r="A110" s="9">
        <f>IMAGE("https://www.google.com/s2/favicons?domain=github.com&amp;sz=64")</f>
        <v/>
      </c>
      <c r="B110" s="10" t="inlineStr">
        <is>
          <t>Excalidraw</t>
        </is>
      </c>
      <c r="C110" s="11" t="inlineStr">
        <is>
          <t>Open source (GitHub)</t>
        </is>
      </c>
      <c r="D110" s="12" t="inlineStr">
        <is>
          <t>github.com/excalidraw/excalidraw</t>
        </is>
      </c>
      <c r="E110" s="11" t="inlineStr">
        <is>
          <t>Open-source virtual whiteboard with hand-drawn style + AI diagram gen</t>
        </is>
      </c>
      <c r="F110" s="11" t="inlineStr">
        <is>
          <t>Free; Plus $6/mo</t>
        </is>
      </c>
      <c r="G110" s="11" t="inlineStr">
        <is>
          <t>Yes — Claude artifacts/MCP can emit Excalidraw/Mermaid</t>
        </is>
      </c>
      <c r="H110" s="11" t="inlineStr">
        <is>
          <t>Instant diagrams; text-to-diagram AI; free</t>
        </is>
      </c>
      <c r="I110" s="11" t="inlineStr">
        <is>
          <t>Sketch style only</t>
        </is>
      </c>
      <c r="J110" s="11" t="inlineStr">
        <is>
          <t>Engineers diagramming ideas</t>
        </is>
      </c>
      <c r="K110" s="9" t="n">
        <v>7</v>
      </c>
      <c r="L110" s="9" t="n">
        <v>10</v>
      </c>
      <c r="M110" s="9" t="n">
        <v>7</v>
      </c>
      <c r="N110" s="9" t="n">
        <v>8</v>
      </c>
      <c r="O110" s="9" t="n">
        <v>3</v>
      </c>
    </row>
    <row r="111" ht="58" customHeight="1">
      <c r="A111" s="9">
        <f>IMAGE("https://www.google.com/s2/favicons?domain=gimp.org&amp;sz=64")</f>
        <v/>
      </c>
      <c r="B111" s="10" t="inlineStr">
        <is>
          <t>GIMP</t>
        </is>
      </c>
      <c r="C111" s="11" t="inlineStr">
        <is>
          <t>Open source (GitHub)</t>
        </is>
      </c>
      <c r="D111" s="12" t="inlineStr">
        <is>
          <t>gimp.org</t>
        </is>
      </c>
      <c r="E111" s="11" t="inlineStr">
        <is>
          <t>Free Photoshop alternative (AI via community plugins)</t>
        </is>
      </c>
      <c r="F111" s="11" t="inlineStr">
        <is>
          <t>Free</t>
        </is>
      </c>
      <c r="G111" s="11" t="inlineStr">
        <is>
          <t>No</t>
        </is>
      </c>
      <c r="H111" s="11" t="inlineStr">
        <is>
          <t>Free raster powerhouse; scriptable</t>
        </is>
      </c>
      <c r="I111" s="11" t="inlineStr">
        <is>
          <t>Dated UX; AI only via plugins</t>
        </is>
      </c>
      <c r="J111" s="11" t="inlineStr">
        <is>
          <t>Budget photo editing</t>
        </is>
      </c>
      <c r="K111" s="9" t="n">
        <v>3</v>
      </c>
      <c r="L111" s="9" t="n">
        <v>10</v>
      </c>
      <c r="M111" s="9" t="n">
        <v>5</v>
      </c>
      <c r="N111" s="9" t="n">
        <v>6</v>
      </c>
      <c r="O111" s="9" t="n">
        <v>7</v>
      </c>
    </row>
    <row r="112" ht="22" customHeight="1">
      <c r="A112" s="4" t="inlineStr">
        <is>
          <t>AI Email Assistants</t>
        </is>
      </c>
    </row>
    <row r="113" ht="58" customHeight="1">
      <c r="A113" s="5">
        <f>IMAGE("https://www.google.com/s2/favicons?domain=superhuman.com&amp;sz=64")</f>
        <v/>
      </c>
      <c r="B113" s="6" t="inlineStr">
        <is>
          <t>Superhuman</t>
        </is>
      </c>
      <c r="C113" s="7" t="inlineStr">
        <is>
          <t>Paid</t>
        </is>
      </c>
      <c r="D113" s="8" t="inlineStr">
        <is>
          <t>superhuman.com</t>
        </is>
      </c>
      <c r="E113" s="7" t="inlineStr">
        <is>
          <t>Speed-focused email client with AI triage, replies and follow-ups</t>
        </is>
      </c>
      <c r="F113" s="7" t="inlineStr">
        <is>
          <t>From $25/mo (Grammarly-owned)</t>
        </is>
      </c>
      <c r="G113" s="7" t="inlineStr">
        <is>
          <t>No</t>
        </is>
      </c>
      <c r="H113" s="7" t="inlineStr">
        <is>
          <t>Fastest email UX; great AI triage</t>
        </is>
      </c>
      <c r="I113" s="7" t="inlineStr">
        <is>
          <t>Expensive; Gmail/Outlook only</t>
        </is>
      </c>
      <c r="J113" s="7" t="inlineStr">
        <is>
          <t>Executives living in email</t>
        </is>
      </c>
      <c r="K113" s="5" t="n">
        <v>6</v>
      </c>
      <c r="L113" s="5" t="n">
        <v>4</v>
      </c>
      <c r="M113" s="5" t="n">
        <v>8</v>
      </c>
      <c r="N113" s="5" t="n">
        <v>6</v>
      </c>
      <c r="O113" s="5" t="n">
        <v>5</v>
      </c>
    </row>
    <row r="114" ht="58" customHeight="1">
      <c r="A114" s="5">
        <f>IMAGE("https://www.google.com/s2/favicons?domain=shortwave.com&amp;sz=64")</f>
        <v/>
      </c>
      <c r="B114" s="6" t="inlineStr">
        <is>
          <t>Shortwave</t>
        </is>
      </c>
      <c r="C114" s="7" t="inlineStr">
        <is>
          <t>Freemium</t>
        </is>
      </c>
      <c r="D114" s="8" t="inlineStr">
        <is>
          <t>shortwave.com</t>
        </is>
      </c>
      <c r="E114" s="7" t="inlineStr">
        <is>
          <t>AI-native Gmail client with assistant that searches/writes/schedules</t>
        </is>
      </c>
      <c r="F114" s="7" t="inlineStr">
        <is>
          <t>Free; from $14/mo</t>
        </is>
      </c>
      <c r="G114" s="7" t="inlineStr">
        <is>
          <t>Yes — MCP client support; Claude-friendly</t>
        </is>
      </c>
      <c r="H114" s="7" t="inlineStr">
        <is>
          <t>Powerful AI search &amp; agents; MCP-forward</t>
        </is>
      </c>
      <c r="I114" s="7" t="inlineStr">
        <is>
          <t>Gmail only</t>
        </is>
      </c>
      <c r="J114" s="7" t="inlineStr">
        <is>
          <t>Gmail power users</t>
        </is>
      </c>
      <c r="K114" s="5" t="n">
        <v>8</v>
      </c>
      <c r="L114" s="5" t="n">
        <v>7</v>
      </c>
      <c r="M114" s="5" t="n">
        <v>8</v>
      </c>
      <c r="N114" s="5" t="n">
        <v>7.7</v>
      </c>
      <c r="O114" s="5" t="n">
        <v>1</v>
      </c>
    </row>
    <row r="115" ht="58" customHeight="1">
      <c r="A115" s="5">
        <f>IMAGE("https://www.google.com/s2/favicons?domain=maestrolabs.com&amp;sz=64")</f>
        <v/>
      </c>
      <c r="B115" s="6" t="inlineStr">
        <is>
          <t>MailMaestro</t>
        </is>
      </c>
      <c r="C115" s="7" t="inlineStr">
        <is>
          <t>Paid</t>
        </is>
      </c>
      <c r="D115" s="8" t="inlineStr">
        <is>
          <t>maestrolabs.com</t>
        </is>
      </c>
      <c r="E115" s="7" t="inlineStr">
        <is>
          <t>AI email copilot for Outlook/Gmail (summaries, drafts, scheduling)</t>
        </is>
      </c>
      <c r="F115" s="7" t="inlineStr">
        <is>
          <t>From ~$15/mo</t>
        </is>
      </c>
      <c r="G115" s="7" t="inlineStr">
        <is>
          <t>No</t>
        </is>
      </c>
      <c r="H115" s="7" t="inlineStr">
        <is>
          <t>Strong Outlook support; enterprise-friendly</t>
        </is>
      </c>
      <c r="I115" s="7" t="inlineStr">
        <is>
          <t>Add-in, not a client</t>
        </is>
      </c>
      <c r="J115" s="7" t="inlineStr">
        <is>
          <t>Outlook-centric companies</t>
        </is>
      </c>
      <c r="K115" s="5" t="n">
        <v>5</v>
      </c>
      <c r="L115" s="5" t="n">
        <v>6</v>
      </c>
      <c r="M115" s="5" t="n">
        <v>6</v>
      </c>
      <c r="N115" s="5" t="n">
        <v>5.7</v>
      </c>
      <c r="O115" s="5" t="n">
        <v>6</v>
      </c>
    </row>
    <row r="116" ht="58" customHeight="1">
      <c r="A116" s="5">
        <f>IMAGE("https://www.google.com/s2/favicons?domain=fyxer.com&amp;sz=64")</f>
        <v/>
      </c>
      <c r="B116" s="6" t="inlineStr">
        <is>
          <t>Fyxer</t>
        </is>
      </c>
      <c r="C116" s="7" t="inlineStr">
        <is>
          <t>Paid</t>
        </is>
      </c>
      <c r="D116" s="8" t="inlineStr">
        <is>
          <t>fyxer.com</t>
        </is>
      </c>
      <c r="E116" s="7" t="inlineStr">
        <is>
          <t>AI executive assistant: drafts replies, organises inbox, meeting notes</t>
        </is>
      </c>
      <c r="F116" s="7" t="inlineStr">
        <is>
          <t>From $30/mo</t>
        </is>
      </c>
      <c r="G116" s="7" t="inlineStr">
        <is>
          <t>No</t>
        </is>
      </c>
      <c r="H116" s="7" t="inlineStr">
        <is>
          <t>Set-and-forget triage + drafting; learns your tone</t>
        </is>
      </c>
      <c r="I116" s="7" t="inlineStr">
        <is>
          <t>Pricey; less control</t>
        </is>
      </c>
      <c r="J116" s="7" t="inlineStr">
        <is>
          <t>Founders/execs drowning in email</t>
        </is>
      </c>
      <c r="K116" s="5" t="n">
        <v>5</v>
      </c>
      <c r="L116" s="5" t="n">
        <v>5</v>
      </c>
      <c r="M116" s="5" t="n">
        <v>7</v>
      </c>
      <c r="N116" s="5" t="n">
        <v>5.7</v>
      </c>
      <c r="O116" s="5" t="n">
        <v>7</v>
      </c>
    </row>
    <row r="117" ht="58" customHeight="1">
      <c r="A117" s="5">
        <f>IMAGE("https://www.google.com/s2/favicons?domain=workspace.google.com&amp;sz=64")</f>
        <v/>
      </c>
      <c r="B117" s="6" t="inlineStr">
        <is>
          <t>Gemini in Gmail</t>
        </is>
      </c>
      <c r="C117" s="7" t="inlineStr">
        <is>
          <t>Paid</t>
        </is>
      </c>
      <c r="D117" s="8" t="inlineStr">
        <is>
          <t>workspace.google.com</t>
        </is>
      </c>
      <c r="E117" s="7" t="inlineStr">
        <is>
          <t>Google's native AI inside Gmail: summarise, draft, smart replies</t>
        </is>
      </c>
      <c r="F117" s="7" t="inlineStr">
        <is>
          <t>Included in Workspace Business/AI plans</t>
        </is>
      </c>
      <c r="G117" s="7" t="inlineStr">
        <is>
          <t>No</t>
        </is>
      </c>
      <c r="H117" s="7" t="inlineStr">
        <is>
          <t>Zero-setup if on Workspace</t>
        </is>
      </c>
      <c r="I117" s="7" t="inlineStr">
        <is>
          <t>Generic drafting; Google-only</t>
        </is>
      </c>
      <c r="J117" s="7" t="inlineStr">
        <is>
          <t>Google Workspace orgs</t>
        </is>
      </c>
      <c r="K117" s="5" t="n">
        <v>6</v>
      </c>
      <c r="L117" s="5" t="n">
        <v>7</v>
      </c>
      <c r="M117" s="5" t="n">
        <v>6</v>
      </c>
      <c r="N117" s="5" t="n">
        <v>6.3</v>
      </c>
      <c r="O117" s="5" t="n">
        <v>3</v>
      </c>
    </row>
    <row r="118" ht="58" customHeight="1">
      <c r="A118" s="5">
        <f>IMAGE("https://www.google.com/s2/favicons?domain=friday-app.com&amp;sz=64")</f>
        <v/>
      </c>
      <c r="B118" s="6" t="inlineStr">
        <is>
          <t>Friday</t>
        </is>
      </c>
      <c r="C118" s="7" t="inlineStr">
        <is>
          <t>Freemium</t>
        </is>
      </c>
      <c r="D118" s="8" t="inlineStr">
        <is>
          <t>friday-app.com</t>
        </is>
      </c>
      <c r="E118" s="7" t="inlineStr">
        <is>
          <t>Lightweight AI email helper (drafting/replies)</t>
        </is>
      </c>
      <c r="F118" s="7" t="inlineStr">
        <is>
          <t>Free; ~$10/mo</t>
        </is>
      </c>
      <c r="G118" s="7" t="inlineStr">
        <is>
          <t>No</t>
        </is>
      </c>
      <c r="H118" s="7" t="inlineStr">
        <is>
          <t>Cheap and simple</t>
        </is>
      </c>
      <c r="I118" s="7" t="inlineStr">
        <is>
          <t>Obscure; limited features (verify vendor)</t>
        </is>
      </c>
      <c r="J118" s="7" t="inlineStr">
        <is>
          <t>Casual inbox help</t>
        </is>
      </c>
      <c r="K118" s="5" t="n">
        <v>2</v>
      </c>
      <c r="L118" s="5" t="n">
        <v>7</v>
      </c>
      <c r="M118" s="5" t="n">
        <v>4</v>
      </c>
      <c r="N118" s="5" t="n">
        <v>4.3</v>
      </c>
      <c r="O118" s="5" t="n">
        <v>8</v>
      </c>
    </row>
    <row r="119" ht="58" customHeight="1">
      <c r="A119" s="5">
        <f>IMAGE("https://www.google.com/s2/favicons?domain=clippit.ai&amp;sz=64")</f>
        <v/>
      </c>
      <c r="B119" s="6" t="inlineStr">
        <is>
          <t>Clippit.AI</t>
        </is>
      </c>
      <c r="C119" s="7" t="inlineStr">
        <is>
          <t>Freemium</t>
        </is>
      </c>
      <c r="D119" s="8" t="inlineStr">
        <is>
          <t>clippit.ai</t>
        </is>
      </c>
      <c r="E119" s="7" t="inlineStr">
        <is>
          <t>AI email/writing helper (listed in roundup; small vendor)</t>
        </is>
      </c>
      <c r="F119" s="7" t="inlineStr">
        <is>
          <t>~$10/mo</t>
        </is>
      </c>
      <c r="G119" s="7" t="inlineStr">
        <is>
          <t>No</t>
        </is>
      </c>
      <c r="H119" s="7" t="inlineStr">
        <is>
          <t>Inexpensive</t>
        </is>
      </c>
      <c r="I119" s="7" t="inlineStr">
        <is>
          <t>Very small product; verify before relying on it</t>
        </is>
      </c>
      <c r="J119" s="7" t="inlineStr">
        <is>
          <t>Light users</t>
        </is>
      </c>
      <c r="K119" s="5" t="n">
        <v>2</v>
      </c>
      <c r="L119" s="5" t="n">
        <v>7</v>
      </c>
      <c r="M119" s="5" t="n">
        <v>3</v>
      </c>
      <c r="N119" s="5" t="n">
        <v>4</v>
      </c>
      <c r="O119" s="5" t="n">
        <v>9</v>
      </c>
    </row>
    <row r="120" ht="58" customHeight="1">
      <c r="A120" s="9">
        <f>IMAGE("https://www.google.com/s2/favicons?domain=github.com&amp;sz=64")</f>
        <v/>
      </c>
      <c r="B120" s="10" t="inlineStr">
        <is>
          <t>Inbox Zero</t>
        </is>
      </c>
      <c r="C120" s="11" t="inlineStr">
        <is>
          <t>Open source (GitHub)</t>
        </is>
      </c>
      <c r="D120" s="12" t="inlineStr">
        <is>
          <t>github.com/elie222/inbox-zero</t>
        </is>
      </c>
      <c r="E120" s="11" t="inlineStr">
        <is>
          <t>Open-source AI email assistant: auto-triage, rules, bulk unsubscribe</t>
        </is>
      </c>
      <c r="F120" s="11" t="inlineStr">
        <is>
          <t>Free self-host; cloud from $16/mo</t>
        </is>
      </c>
      <c r="G120" s="11" t="inlineStr">
        <is>
          <t>Yes — works with Anthropic API keys</t>
        </is>
      </c>
      <c r="H120" s="11" t="inlineStr">
        <is>
          <t>Open source; powerful automation rules</t>
        </is>
      </c>
      <c r="I120" s="11" t="inlineStr">
        <is>
          <t>Gmail-first; self-host setup</t>
        </is>
      </c>
      <c r="J120" s="11" t="inlineStr">
        <is>
          <t>Privacy-minded inbox automation</t>
        </is>
      </c>
      <c r="K120" s="9" t="n">
        <v>7</v>
      </c>
      <c r="L120" s="9" t="n">
        <v>9</v>
      </c>
      <c r="M120" s="9" t="n">
        <v>7</v>
      </c>
      <c r="N120" s="9" t="n">
        <v>7.7</v>
      </c>
      <c r="O120" s="9" t="n">
        <v>2</v>
      </c>
    </row>
    <row r="121" ht="58" customHeight="1">
      <c r="A121" s="9">
        <f>IMAGE("https://www.google.com/s2/favicons?domain=github.com&amp;sz=64")</f>
        <v/>
      </c>
      <c r="B121" s="10" t="inlineStr">
        <is>
          <t>Zero (Mail0)</t>
        </is>
      </c>
      <c r="C121" s="11" t="inlineStr">
        <is>
          <t>Open source (GitHub)</t>
        </is>
      </c>
      <c r="D121" s="12" t="inlineStr">
        <is>
          <t>github.com/Mail-0/Zero</t>
        </is>
      </c>
      <c r="E121" s="11" t="inlineStr">
        <is>
          <t>Open-source AI-native email client project</t>
        </is>
      </c>
      <c r="F121" s="11" t="inlineStr">
        <is>
          <t>Free (self-host)</t>
        </is>
      </c>
      <c r="G121" s="11" t="inlineStr">
        <is>
          <t>Yes — bring-your-own model incl. Claude</t>
        </is>
      </c>
      <c r="H121" s="11" t="inlineStr">
        <is>
          <t>Modern OSS email client with AI built in</t>
        </is>
      </c>
      <c r="I121" s="11" t="inlineStr">
        <is>
          <t>Early-stage software</t>
        </is>
      </c>
      <c r="J121" s="11" t="inlineStr">
        <is>
          <t>Tinkerers wanting an OSS AI inbox</t>
        </is>
      </c>
      <c r="K121" s="9" t="n">
        <v>5</v>
      </c>
      <c r="L121" s="9" t="n">
        <v>9</v>
      </c>
      <c r="M121" s="9" t="n">
        <v>5</v>
      </c>
      <c r="N121" s="9" t="n">
        <v>6.3</v>
      </c>
      <c r="O121" s="9" t="n">
        <v>4</v>
      </c>
    </row>
    <row r="122" ht="22" customHeight="1">
      <c r="A122" s="4" t="inlineStr">
        <is>
          <t>AI Meeting Notes</t>
        </is>
      </c>
    </row>
    <row r="123" ht="58" customHeight="1">
      <c r="A123" s="5">
        <f>IMAGE("https://www.google.com/s2/favicons?domain=granola.ai&amp;sz=64")</f>
        <v/>
      </c>
      <c r="B123" s="6" t="inlineStr">
        <is>
          <t>Granola</t>
        </is>
      </c>
      <c r="C123" s="7" t="inlineStr">
        <is>
          <t>Paid</t>
        </is>
      </c>
      <c r="D123" s="8" t="inlineStr">
        <is>
          <t>granola.ai</t>
        </is>
      </c>
      <c r="E123" s="7" t="inlineStr">
        <is>
          <t>Notepad that blends your typed notes with AI transcription — no bot joins</t>
        </is>
      </c>
      <c r="F123" s="7" t="inlineStr">
        <is>
          <t>Free trial; from $18/mo</t>
        </is>
      </c>
      <c r="G123" s="7" t="inlineStr">
        <is>
          <t>Yes — Granola MCP server for Claude</t>
        </is>
      </c>
      <c r="H123" s="7" t="inlineStr">
        <is>
          <t>Botless capture; superb summaries; MCP</t>
        </is>
      </c>
      <c r="I123" s="7" t="inlineStr">
        <is>
          <t>Mac/iOS-first; no free tier</t>
        </is>
      </c>
      <c r="J123" s="7" t="inlineStr">
        <is>
          <t>Back-to-back-meeting professionals</t>
        </is>
      </c>
      <c r="K123" s="5" t="n">
        <v>8</v>
      </c>
      <c r="L123" s="5" t="n">
        <v>6</v>
      </c>
      <c r="M123" s="5" t="n">
        <v>9</v>
      </c>
      <c r="N123" s="5" t="n">
        <v>7.7</v>
      </c>
      <c r="O123" s="5" t="n">
        <v>4</v>
      </c>
    </row>
    <row r="124" ht="58" customHeight="1">
      <c r="A124" s="5">
        <f>IMAGE("https://www.google.com/s2/favicons?domain=fathom.video&amp;sz=64")</f>
        <v/>
      </c>
      <c r="B124" s="6" t="inlineStr">
        <is>
          <t>Fathom</t>
        </is>
      </c>
      <c r="C124" s="7" t="inlineStr">
        <is>
          <t>Freemium</t>
        </is>
      </c>
      <c r="D124" s="8" t="inlineStr">
        <is>
          <t>fathom.video</t>
        </is>
      </c>
      <c r="E124" s="7" t="inlineStr">
        <is>
          <t>Free AI meeting recorder/summariser for Zoom/Meet/Teams</t>
        </is>
      </c>
      <c r="F124" s="7" t="inlineStr">
        <is>
          <t>Free (generous); Premium from $15/mo</t>
        </is>
      </c>
      <c r="G124" s="7" t="inlineStr">
        <is>
          <t>Partial — Zapier + API</t>
        </is>
      </c>
      <c r="H124" s="7" t="inlineStr">
        <is>
          <t>Best free tier in category; instant summaries</t>
        </is>
      </c>
      <c r="I124" s="7" t="inlineStr">
        <is>
          <t>Bot joins calls; recording etiquette</t>
        </is>
      </c>
      <c r="J124" s="7" t="inlineStr">
        <is>
          <t>Anyone starting with AI meeting notes</t>
        </is>
      </c>
      <c r="K124" s="5" t="n">
        <v>7</v>
      </c>
      <c r="L124" s="5" t="n">
        <v>9</v>
      </c>
      <c r="M124" s="5" t="n">
        <v>8</v>
      </c>
      <c r="N124" s="5" t="n">
        <v>8</v>
      </c>
      <c r="O124" s="5" t="n">
        <v>1</v>
      </c>
    </row>
    <row r="125" ht="58" customHeight="1">
      <c r="A125" s="5">
        <f>IMAGE("https://www.google.com/s2/favicons?domain=fireflies.ai&amp;sz=64")</f>
        <v/>
      </c>
      <c r="B125" s="6" t="inlineStr">
        <is>
          <t>Fireflies.ai</t>
        </is>
      </c>
      <c r="C125" s="7" t="inlineStr">
        <is>
          <t>Freemium</t>
        </is>
      </c>
      <c r="D125" s="8" t="inlineStr">
        <is>
          <t>fireflies.ai</t>
        </is>
      </c>
      <c r="E125" s="7" t="inlineStr">
        <is>
          <t>Meeting transcription, summaries and conversation search across tools</t>
        </is>
      </c>
      <c r="F125" s="7" t="inlineStr">
        <is>
          <t>Free; Pro $10/mo</t>
        </is>
      </c>
      <c r="G125" s="7" t="inlineStr">
        <is>
          <t>Partial — API/Zapier; community MCP</t>
        </is>
      </c>
      <c r="H125" s="7" t="inlineStr">
        <is>
          <t>Broad integrations; topic tracking; cheap</t>
        </is>
      </c>
      <c r="I125" s="7" t="inlineStr">
        <is>
          <t>Accuracy dips with crosstalk</t>
        </is>
      </c>
      <c r="J125" s="7" t="inlineStr">
        <is>
          <t>Teams wanting searchable meeting memory</t>
        </is>
      </c>
      <c r="K125" s="5" t="n">
        <v>8</v>
      </c>
      <c r="L125" s="5" t="n">
        <v>8</v>
      </c>
      <c r="M125" s="5" t="n">
        <v>8</v>
      </c>
      <c r="N125" s="5" t="n">
        <v>8</v>
      </c>
      <c r="O125" s="5" t="n">
        <v>2</v>
      </c>
    </row>
    <row r="126" ht="58" customHeight="1">
      <c r="A126" s="5">
        <f>IMAGE("https://www.google.com/s2/favicons?domain=otter.ai&amp;sz=64")</f>
        <v/>
      </c>
      <c r="B126" s="6" t="inlineStr">
        <is>
          <t>Otter.ai</t>
        </is>
      </c>
      <c r="C126" s="7" t="inlineStr">
        <is>
          <t>Freemium</t>
        </is>
      </c>
      <c r="D126" s="8" t="inlineStr">
        <is>
          <t>otter.ai</t>
        </is>
      </c>
      <c r="E126" s="7" t="inlineStr">
        <is>
          <t>Real-time transcription with live captions and channels</t>
        </is>
      </c>
      <c r="F126" s="7" t="inlineStr">
        <is>
          <t>Free 300 min/mo; Pro $16.99/mo</t>
        </is>
      </c>
      <c r="G126" s="7" t="inlineStr">
        <is>
          <t>Partial — Zapier</t>
        </is>
      </c>
      <c r="H126" s="7" t="inlineStr">
        <is>
          <t>Live transcript UX; education discounts</t>
        </is>
      </c>
      <c r="I126" s="7" t="inlineStr">
        <is>
          <t>Summaries weaker than rivals; spammy bot reputation</t>
        </is>
      </c>
      <c r="J126" s="7" t="inlineStr">
        <is>
          <t>Students and live captioning</t>
        </is>
      </c>
      <c r="K126" s="5" t="n">
        <v>6</v>
      </c>
      <c r="L126" s="5" t="n">
        <v>7</v>
      </c>
      <c r="M126" s="5" t="n">
        <v>7</v>
      </c>
      <c r="N126" s="5" t="n">
        <v>6.7</v>
      </c>
      <c r="O126" s="5" t="n">
        <v>6</v>
      </c>
    </row>
    <row r="127" ht="58" customHeight="1">
      <c r="A127" s="5">
        <f>IMAGE("https://www.google.com/s2/favicons?domain=avoma.com&amp;sz=64")</f>
        <v/>
      </c>
      <c r="B127" s="6" t="inlineStr">
        <is>
          <t>Avoma</t>
        </is>
      </c>
      <c r="C127" s="7" t="inlineStr">
        <is>
          <t>Paid</t>
        </is>
      </c>
      <c r="D127" s="8" t="inlineStr">
        <is>
          <t>avoma.com</t>
        </is>
      </c>
      <c r="E127" s="7" t="inlineStr">
        <is>
          <t>Meeting AI + conversation intelligence + revenue insights</t>
        </is>
      </c>
      <c r="F127" s="7" t="inlineStr">
        <is>
          <t>From $19/user/mo</t>
        </is>
      </c>
      <c r="G127" s="7" t="inlineStr">
        <is>
          <t>Partial — API/Zapier</t>
        </is>
      </c>
      <c r="H127" s="7" t="inlineStr">
        <is>
          <t>Meeting notes AND sales coaching in one</t>
        </is>
      </c>
      <c r="I127" s="7" t="inlineStr">
        <is>
          <t>Pricier; sales-tool feel</t>
        </is>
      </c>
      <c r="J127" s="7" t="inlineStr">
        <is>
          <t>Revenue teams</t>
        </is>
      </c>
      <c r="K127" s="5" t="n">
        <v>6</v>
      </c>
      <c r="L127" s="5" t="n">
        <v>5</v>
      </c>
      <c r="M127" s="5" t="n">
        <v>8</v>
      </c>
      <c r="N127" s="5" t="n">
        <v>6.3</v>
      </c>
      <c r="O127" s="5" t="n">
        <v>11</v>
      </c>
    </row>
    <row r="128" ht="58" customHeight="1">
      <c r="A128" s="5">
        <f>IMAGE("https://www.google.com/s2/favicons?domain=fellow.app&amp;sz=64")</f>
        <v/>
      </c>
      <c r="B128" s="6" t="inlineStr">
        <is>
          <t>Fellow</t>
        </is>
      </c>
      <c r="C128" s="7" t="inlineStr">
        <is>
          <t>Paid</t>
        </is>
      </c>
      <c r="D128" s="8" t="inlineStr">
        <is>
          <t>fellow.app</t>
        </is>
      </c>
      <c r="E128" s="7" t="inlineStr">
        <is>
          <t>Meeting management (agendas, actions) with AI recordings</t>
        </is>
      </c>
      <c r="F128" s="7" t="inlineStr">
        <is>
          <t>From $7/user/mo</t>
        </is>
      </c>
      <c r="G128" s="7" t="inlineStr">
        <is>
          <t>Partial — Zapier</t>
        </is>
      </c>
      <c r="H128" s="7" t="inlineStr">
        <is>
          <t>Agendas + actions + notes in one workflow</t>
        </is>
      </c>
      <c r="I128" s="7" t="inlineStr">
        <is>
          <t>AI newer than dedicated recorders</t>
        </is>
      </c>
      <c r="J128" s="7" t="inlineStr">
        <is>
          <t>Managers running structured meetings</t>
        </is>
      </c>
      <c r="K128" s="5" t="n">
        <v>6</v>
      </c>
      <c r="L128" s="5" t="n">
        <v>7</v>
      </c>
      <c r="M128" s="5" t="n">
        <v>7</v>
      </c>
      <c r="N128" s="5" t="n">
        <v>6.7</v>
      </c>
      <c r="O128" s="5" t="n">
        <v>7</v>
      </c>
    </row>
    <row r="129" ht="58" customHeight="1">
      <c r="A129" s="5">
        <f>IMAGE("https://www.google.com/s2/favicons?domain=krisp.ai&amp;sz=64")</f>
        <v/>
      </c>
      <c r="B129" s="6" t="inlineStr">
        <is>
          <t>Krisp</t>
        </is>
      </c>
      <c r="C129" s="7" t="inlineStr">
        <is>
          <t>Freemium</t>
        </is>
      </c>
      <c r="D129" s="8" t="inlineStr">
        <is>
          <t>krisp.ai</t>
        </is>
      </c>
      <c r="E129" s="7" t="inlineStr">
        <is>
          <t>AI noise cancellation + transcription layer for any call app</t>
        </is>
      </c>
      <c r="F129" s="7" t="inlineStr">
        <is>
          <t>Free; Pro $8/mo</t>
        </is>
      </c>
      <c r="G129" s="7" t="inlineStr">
        <is>
          <t>No</t>
        </is>
      </c>
      <c r="H129" s="7" t="inlineStr">
        <is>
          <t>Works system-wide with every app; noise removal is best-in-class</t>
        </is>
      </c>
      <c r="I129" s="7" t="inlineStr">
        <is>
          <t>Notes secondary to audio cleanup</t>
        </is>
      </c>
      <c r="J129" s="7" t="inlineStr">
        <is>
          <t>Noisy environments, call centres</t>
        </is>
      </c>
      <c r="K129" s="5" t="n">
        <v>5</v>
      </c>
      <c r="L129" s="5" t="n">
        <v>8</v>
      </c>
      <c r="M129" s="5" t="n">
        <v>7</v>
      </c>
      <c r="N129" s="5" t="n">
        <v>6.7</v>
      </c>
      <c r="O129" s="5" t="n">
        <v>8</v>
      </c>
    </row>
    <row r="130" ht="58" customHeight="1">
      <c r="A130" s="5">
        <f>IMAGE("https://www.google.com/s2/favicons?domain=equaltime.io&amp;sz=64")</f>
        <v/>
      </c>
      <c r="B130" s="6" t="inlineStr">
        <is>
          <t>Equal Time</t>
        </is>
      </c>
      <c r="C130" s="7" t="inlineStr">
        <is>
          <t>Paid</t>
        </is>
      </c>
      <c r="D130" s="8" t="inlineStr">
        <is>
          <t>equaltime.io</t>
        </is>
      </c>
      <c r="E130" s="7" t="inlineStr">
        <is>
          <t>Meeting notes with inclusion/speaking-time analytics</t>
        </is>
      </c>
      <c r="F130" s="7" t="inlineStr">
        <is>
          <t>From ~$20/mo</t>
        </is>
      </c>
      <c r="G130" s="7" t="inlineStr">
        <is>
          <t>No</t>
        </is>
      </c>
      <c r="H130" s="7" t="inlineStr">
        <is>
          <t>Unique DEI/participation metrics</t>
        </is>
      </c>
      <c r="I130" s="7" t="inlineStr">
        <is>
          <t>Niche; small vendor</t>
        </is>
      </c>
      <c r="J130" s="7" t="inlineStr">
        <is>
          <t>Inclusive-culture teams</t>
        </is>
      </c>
      <c r="K130" s="5" t="n">
        <v>3</v>
      </c>
      <c r="L130" s="5" t="n">
        <v>5</v>
      </c>
      <c r="M130" s="5" t="n">
        <v>5</v>
      </c>
      <c r="N130" s="5" t="n">
        <v>4.3</v>
      </c>
      <c r="O130" s="5" t="n">
        <v>13</v>
      </c>
    </row>
    <row r="131" ht="58" customHeight="1">
      <c r="A131" s="5">
        <f>IMAGE("https://www.google.com/s2/favicons?domain=littlebird.ai&amp;sz=64")</f>
        <v/>
      </c>
      <c r="B131" s="6" t="inlineStr">
        <is>
          <t>Littlebird</t>
        </is>
      </c>
      <c r="C131" s="7" t="inlineStr">
        <is>
          <t>Freemium</t>
        </is>
      </c>
      <c r="D131" s="8" t="inlineStr">
        <is>
          <t>littlebird.ai</t>
        </is>
      </c>
      <c r="E131" s="7" t="inlineStr">
        <is>
          <t>Ambient AI assistant (Mac/mobile) that watches your screen, meetings, calendar and email to build a work memory</t>
        </is>
      </c>
      <c r="F131" s="7" t="inlineStr">
        <is>
          <t>Free; Plus $17/mo; Pro from $100/mo</t>
        </is>
      </c>
      <c r="G131" s="7" t="inlineStr">
        <is>
          <t>No</t>
        </is>
      </c>
      <c r="H131" s="7" t="inlineStr">
        <is>
          <t>Context from everything you do, not just meetings; raised $11M in 2026</t>
        </is>
      </c>
      <c r="I131" s="7" t="inlineStr">
        <is>
          <t>Screen-watching privacy trade-off; Mac-first</t>
        </is>
      </c>
      <c r="J131" s="7" t="inlineStr">
        <is>
          <t>Sales/CS pros juggling many relationships</t>
        </is>
      </c>
      <c r="K131" s="5" t="n">
        <v>6</v>
      </c>
      <c r="L131" s="5" t="n">
        <v>7</v>
      </c>
      <c r="M131" s="5" t="n">
        <v>7</v>
      </c>
      <c r="N131" s="5" t="n">
        <v>6.7</v>
      </c>
      <c r="O131" s="5" t="n">
        <v>9</v>
      </c>
    </row>
    <row r="132" ht="58" customHeight="1">
      <c r="A132" s="5">
        <f>IMAGE("https://www.google.com/s2/favicons?domain=tldv.io&amp;sz=64")</f>
        <v/>
      </c>
      <c r="B132" s="6" t="inlineStr">
        <is>
          <t>tl;dv</t>
        </is>
      </c>
      <c r="C132" s="7" t="inlineStr">
        <is>
          <t>Freemium</t>
        </is>
      </c>
      <c r="D132" s="8" t="inlineStr">
        <is>
          <t>tldv.io</t>
        </is>
      </c>
      <c r="E132" s="7" t="inlineStr">
        <is>
          <t>Meeting recorder with clips, multi-meeting AI reports and CRM sync</t>
        </is>
      </c>
      <c r="F132" s="7" t="inlineStr">
        <is>
          <t>Free; Pro $18/mo</t>
        </is>
      </c>
      <c r="G132" s="7" t="inlineStr">
        <is>
          <t>Partial — API/Zapier</t>
        </is>
      </c>
      <c r="H132" s="7" t="inlineStr">
        <is>
          <t>Good free tier; clip sharing</t>
        </is>
      </c>
      <c r="I132" s="7" t="inlineStr">
        <is>
          <t>Bot-based; UI busy</t>
        </is>
      </c>
      <c r="J132" s="7" t="inlineStr">
        <is>
          <t>Product and sales teams sharing clips</t>
        </is>
      </c>
      <c r="K132" s="5" t="n">
        <v>6</v>
      </c>
      <c r="L132" s="5" t="n">
        <v>7</v>
      </c>
      <c r="M132" s="5" t="n">
        <v>7</v>
      </c>
      <c r="N132" s="5" t="n">
        <v>6.7</v>
      </c>
      <c r="O132" s="5" t="n">
        <v>10</v>
      </c>
    </row>
    <row r="133" ht="58" customHeight="1">
      <c r="A133" s="9">
        <f>IMAGE("https://www.google.com/s2/favicons?domain=github.com&amp;sz=64")</f>
        <v/>
      </c>
      <c r="B133" s="10" t="inlineStr">
        <is>
          <t>Whisper + WhisperX</t>
        </is>
      </c>
      <c r="C133" s="11" t="inlineStr">
        <is>
          <t>Open source (GitHub)</t>
        </is>
      </c>
      <c r="D133" s="12" t="inlineStr">
        <is>
          <t>github.com/m-bain/whisperX</t>
        </is>
      </c>
      <c r="E133" s="11" t="inlineStr">
        <is>
          <t>DIY pipeline: record → Whisper transcription with speaker diarisation</t>
        </is>
      </c>
      <c r="F133" s="11" t="inlineStr">
        <is>
          <t>Free (self-host)</t>
        </is>
      </c>
      <c r="G133" s="11" t="inlineStr">
        <is>
          <t>Yes — pipe transcripts to Claude for summaries/actions</t>
        </is>
      </c>
      <c r="H133" s="11" t="inlineStr">
        <is>
          <t>Free, private, scriptable; Claude does the summarising</t>
        </is>
      </c>
      <c r="I133" s="11" t="inlineStr">
        <is>
          <t>DIY assembly; no calendar bot</t>
        </is>
      </c>
      <c r="J133" s="11" t="inlineStr">
        <is>
          <t>Engineers automating their own notes</t>
        </is>
      </c>
      <c r="K133" s="9" t="n">
        <v>7</v>
      </c>
      <c r="L133" s="9" t="n">
        <v>10</v>
      </c>
      <c r="M133" s="9" t="n">
        <v>7</v>
      </c>
      <c r="N133" s="9" t="n">
        <v>8</v>
      </c>
      <c r="O133" s="9" t="n">
        <v>3</v>
      </c>
    </row>
    <row r="134" ht="58" customHeight="1">
      <c r="A134" s="9">
        <f>IMAGE("https://www.google.com/s2/favicons?domain=github.com&amp;sz=64")</f>
        <v/>
      </c>
      <c r="B134" s="10" t="inlineStr">
        <is>
          <t>Meetily</t>
        </is>
      </c>
      <c r="C134" s="11" t="inlineStr">
        <is>
          <t>Open source (GitHub)</t>
        </is>
      </c>
      <c r="D134" s="12" t="inlineStr">
        <is>
          <t>github.com/Zackriya-Solutions/meeting-minutes</t>
        </is>
      </c>
      <c r="E134" s="11" t="inlineStr">
        <is>
          <t>Self-hosted AI meeting minutes app (local Whisper + LLM)</t>
        </is>
      </c>
      <c r="F134" s="11" t="inlineStr">
        <is>
          <t>Free (self-host)</t>
        </is>
      </c>
      <c r="G134" s="11" t="inlineStr">
        <is>
          <t>Yes — can use Claude as the summarisation model</t>
        </is>
      </c>
      <c r="H134" s="11" t="inlineStr">
        <is>
          <t>Fully private meeting notes</t>
        </is>
      </c>
      <c r="I134" s="11" t="inlineStr">
        <is>
          <t>Early project; setup effort</t>
        </is>
      </c>
      <c r="J134" s="11" t="inlineStr">
        <is>
          <t>Privacy-mandated organisations</t>
        </is>
      </c>
      <c r="K134" s="9" t="n">
        <v>5</v>
      </c>
      <c r="L134" s="9" t="n">
        <v>9</v>
      </c>
      <c r="M134" s="9" t="n">
        <v>5</v>
      </c>
      <c r="N134" s="9" t="n">
        <v>6.3</v>
      </c>
      <c r="O134" s="9" t="n">
        <v>12</v>
      </c>
    </row>
    <row r="135" ht="58" customHeight="1">
      <c r="A135" s="9">
        <f>IMAGE("https://www.google.com/s2/favicons?domain=github.com&amp;sz=64")</f>
        <v/>
      </c>
      <c r="B135" s="10" t="inlineStr">
        <is>
          <t>Vexa</t>
        </is>
      </c>
      <c r="C135" s="11" t="inlineStr">
        <is>
          <t>Open source (GitHub)</t>
        </is>
      </c>
      <c r="D135" s="12" t="inlineStr">
        <is>
          <t>github.com/Vexa-ai/vexa</t>
        </is>
      </c>
      <c r="E135" s="11" t="inlineStr">
        <is>
          <t>Open-source API that sends transcription bots into Google Meet/Teams</t>
        </is>
      </c>
      <c r="F135" s="11" t="inlineStr">
        <is>
          <t>Free self-host; API tiers</t>
        </is>
      </c>
      <c r="G135" s="11" t="inlineStr">
        <is>
          <t>Partial — feeds transcripts to any LLM incl. Claude</t>
        </is>
      </c>
      <c r="H135" s="11" t="inlineStr">
        <is>
          <t>OSS alternative to Recall.ai; real-time</t>
        </is>
      </c>
      <c r="I135" s="11" t="inlineStr">
        <is>
          <t>Developer tool, not end-user app</t>
        </is>
      </c>
      <c r="J135" s="11" t="inlineStr">
        <is>
          <t>Builders adding meeting AI to products</t>
        </is>
      </c>
      <c r="K135" s="9" t="n">
        <v>6</v>
      </c>
      <c r="L135" s="9" t="n">
        <v>9</v>
      </c>
      <c r="M135" s="9" t="n">
        <v>6</v>
      </c>
      <c r="N135" s="9" t="n">
        <v>7</v>
      </c>
      <c r="O135" s="9" t="n">
        <v>5</v>
      </c>
    </row>
    <row r="136" ht="22" customHeight="1">
      <c r="A136" s="4" t="inlineStr">
        <is>
          <t>AI Scheduling</t>
        </is>
      </c>
    </row>
    <row r="137" ht="58" customHeight="1">
      <c r="A137" s="5">
        <f>IMAGE("https://www.google.com/s2/favicons?domain=calendly.com&amp;sz=64")</f>
        <v/>
      </c>
      <c r="B137" s="6" t="inlineStr">
        <is>
          <t>Calendly</t>
        </is>
      </c>
      <c r="C137" s="7" t="inlineStr">
        <is>
          <t>Freemium</t>
        </is>
      </c>
      <c r="D137" s="8" t="inlineStr">
        <is>
          <t>calendly.com</t>
        </is>
      </c>
      <c r="E137" s="7" t="inlineStr">
        <is>
          <t>The standard external booking-link scheduler</t>
        </is>
      </c>
      <c r="F137" s="7" t="inlineStr">
        <is>
          <t>Free; Standard $10/user/mo</t>
        </is>
      </c>
      <c r="G137" s="7" t="inlineStr">
        <is>
          <t>Partial — Zapier/API; community MCP servers</t>
        </is>
      </c>
      <c r="H137" s="7" t="inlineStr">
        <is>
          <t>Ubiquitous; integrates everywhere</t>
        </is>
      </c>
      <c r="I137" s="7" t="inlineStr">
        <is>
          <t>AI features light; per-seat costs</t>
        </is>
      </c>
      <c r="J137" s="7" t="inlineStr">
        <is>
          <t>Anyone booking external meetings</t>
        </is>
      </c>
      <c r="K137" s="5" t="n">
        <v>8</v>
      </c>
      <c r="L137" s="5" t="n">
        <v>8</v>
      </c>
      <c r="M137" s="5" t="n">
        <v>8</v>
      </c>
      <c r="N137" s="5" t="n">
        <v>8</v>
      </c>
      <c r="O137" s="5" t="n">
        <v>2</v>
      </c>
    </row>
    <row r="138" ht="58" customHeight="1">
      <c r="A138" s="5">
        <f>IMAGE("https://www.google.com/s2/favicons?domain=usemotion.com&amp;sz=64")</f>
        <v/>
      </c>
      <c r="B138" s="6" t="inlineStr">
        <is>
          <t>Motion</t>
        </is>
      </c>
      <c r="C138" s="7" t="inlineStr">
        <is>
          <t>Paid</t>
        </is>
      </c>
      <c r="D138" s="8" t="inlineStr">
        <is>
          <t>usemotion.com</t>
        </is>
      </c>
      <c r="E138" s="7" t="inlineStr">
        <is>
          <t>AI auto-scheduler that plans tasks + meetings into your calendar</t>
        </is>
      </c>
      <c r="F138" s="7" t="inlineStr">
        <is>
          <t>From $19/mo (annual)</t>
        </is>
      </c>
      <c r="G138" s="7" t="inlineStr">
        <is>
          <t>No</t>
        </is>
      </c>
      <c r="H138" s="7" t="inlineStr">
        <is>
          <t>True AI time-blocking; project management included</t>
        </is>
      </c>
      <c r="I138" s="7" t="inlineStr">
        <is>
          <t>Expensive; opinionated; aggressive upsells</t>
        </is>
      </c>
      <c r="J138" s="7" t="inlineStr">
        <is>
          <t>Overloaded ICs and small teams</t>
        </is>
      </c>
      <c r="K138" s="5" t="n">
        <v>6</v>
      </c>
      <c r="L138" s="5" t="n">
        <v>5</v>
      </c>
      <c r="M138" s="5" t="n">
        <v>8</v>
      </c>
      <c r="N138" s="5" t="n">
        <v>6.3</v>
      </c>
      <c r="O138" s="5" t="n">
        <v>5</v>
      </c>
    </row>
    <row r="139" ht="58" customHeight="1">
      <c r="A139" s="5">
        <f>IMAGE("https://www.google.com/s2/favicons?domain=reclaim.ai&amp;sz=64")</f>
        <v/>
      </c>
      <c r="B139" s="6" t="inlineStr">
        <is>
          <t>Reclaim AI</t>
        </is>
      </c>
      <c r="C139" s="7" t="inlineStr">
        <is>
          <t>Freemium</t>
        </is>
      </c>
      <c r="D139" s="8" t="inlineStr">
        <is>
          <t>reclaim.ai</t>
        </is>
      </c>
      <c r="E139" s="7" t="inlineStr">
        <is>
          <t>Smart calendar defense: habits, tasks, buffer time (Dropbox-owned)</t>
        </is>
      </c>
      <c r="F139" s="7" t="inlineStr">
        <is>
          <t>Free; from $8/user/mo</t>
        </is>
      </c>
      <c r="G139" s="7" t="inlineStr">
        <is>
          <t>No</t>
        </is>
      </c>
      <c r="H139" s="7" t="inlineStr">
        <is>
          <t>Great habit/focus-time automation; fair free tier</t>
        </is>
      </c>
      <c r="I139" s="7" t="inlineStr">
        <is>
          <t>Google Calendar-first</t>
        </is>
      </c>
      <c r="J139" s="7" t="inlineStr">
        <is>
          <t>Protecting deep-work time</t>
        </is>
      </c>
      <c r="K139" s="5" t="n">
        <v>6</v>
      </c>
      <c r="L139" s="5" t="n">
        <v>8</v>
      </c>
      <c r="M139" s="5" t="n">
        <v>7</v>
      </c>
      <c r="N139" s="5" t="n">
        <v>7</v>
      </c>
      <c r="O139" s="5" t="n">
        <v>3</v>
      </c>
    </row>
    <row r="140" ht="58" customHeight="1">
      <c r="A140" s="5">
        <f>IMAGE("https://www.google.com/s2/favicons?domain=getclockwise.com&amp;sz=64")</f>
        <v/>
      </c>
      <c r="B140" s="6" t="inlineStr">
        <is>
          <t>Clockwise</t>
        </is>
      </c>
      <c r="C140" s="7" t="inlineStr">
        <is>
          <t>Freemium</t>
        </is>
      </c>
      <c r="D140" s="8" t="inlineStr">
        <is>
          <t>getclockwise.com</t>
        </is>
      </c>
      <c r="E140" s="7" t="inlineStr">
        <is>
          <t>Team-level calendar optimisation creating shared focus time</t>
        </is>
      </c>
      <c r="F140" s="7" t="inlineStr">
        <is>
          <t>Free; from $6.75/user/mo</t>
        </is>
      </c>
      <c r="G140" s="7" t="inlineStr">
        <is>
          <t>No</t>
        </is>
      </c>
      <c r="H140" s="7" t="inlineStr">
        <is>
          <t>Optimises whole team's calendars</t>
        </is>
      </c>
      <c r="I140" s="7" t="inlineStr">
        <is>
          <t>Value needs org-wide adoption</t>
        </is>
      </c>
      <c r="J140" s="7" t="inlineStr">
        <is>
          <t>Engineering orgs with meeting sprawl</t>
        </is>
      </c>
      <c r="K140" s="5" t="n">
        <v>6</v>
      </c>
      <c r="L140" s="5" t="n">
        <v>7</v>
      </c>
      <c r="M140" s="5" t="n">
        <v>7</v>
      </c>
      <c r="N140" s="5" t="n">
        <v>6.7</v>
      </c>
      <c r="O140" s="5" t="n">
        <v>4</v>
      </c>
    </row>
    <row r="141" ht="58" customHeight="1">
      <c r="A141" s="5">
        <f>IMAGE("https://www.google.com/s2/favicons?domain=trevorai.com&amp;sz=64")</f>
        <v/>
      </c>
      <c r="B141" s="6" t="inlineStr">
        <is>
          <t>Trevor AI</t>
        </is>
      </c>
      <c r="C141" s="7" t="inlineStr">
        <is>
          <t>Freemium</t>
        </is>
      </c>
      <c r="D141" s="8" t="inlineStr">
        <is>
          <t>trevorai.com</t>
        </is>
      </c>
      <c r="E141" s="7" t="inlineStr">
        <is>
          <t>Drag-and-drop daily time-boxing with AI suggestions</t>
        </is>
      </c>
      <c r="F141" s="7" t="inlineStr">
        <is>
          <t>Free; Pro $6/mo</t>
        </is>
      </c>
      <c r="G141" s="7" t="inlineStr">
        <is>
          <t>No</t>
        </is>
      </c>
      <c r="H141" s="7" t="inlineStr">
        <is>
          <t>Cheap simple time-boxing</t>
        </is>
      </c>
      <c r="I141" s="7" t="inlineStr">
        <is>
          <t>Individual-only</t>
        </is>
      </c>
      <c r="J141" s="7" t="inlineStr">
        <is>
          <t>Personal daily planners</t>
        </is>
      </c>
      <c r="K141" s="5" t="n">
        <v>3</v>
      </c>
      <c r="L141" s="5" t="n">
        <v>8</v>
      </c>
      <c r="M141" s="5" t="n">
        <v>5</v>
      </c>
      <c r="N141" s="5" t="n">
        <v>5.3</v>
      </c>
      <c r="O141" s="5" t="n">
        <v>7</v>
      </c>
    </row>
    <row r="142" ht="58" customHeight="1">
      <c r="A142" s="5">
        <f>IMAGE("https://www.google.com/s2/favicons?domain=taskade.com&amp;sz=64")</f>
        <v/>
      </c>
      <c r="B142" s="6" t="inlineStr">
        <is>
          <t>Taskade</t>
        </is>
      </c>
      <c r="C142" s="7" t="inlineStr">
        <is>
          <t>Freemium</t>
        </is>
      </c>
      <c r="D142" s="8" t="inlineStr">
        <is>
          <t>taskade.com</t>
        </is>
      </c>
      <c r="E142" s="7" t="inlineStr">
        <is>
          <t>AI workspace: tasks, mind maps, agents (likely the 'Taskode' in roundups)</t>
        </is>
      </c>
      <c r="F142" s="7" t="inlineStr">
        <is>
          <t>Free; from $8/mo</t>
        </is>
      </c>
      <c r="G142" s="7" t="inlineStr">
        <is>
          <t>Partial — API/automation</t>
        </is>
      </c>
      <c r="H142" s="7" t="inlineStr">
        <is>
          <t>Multi-tool value; AI agents cheap</t>
        </is>
      </c>
      <c r="I142" s="7" t="inlineStr">
        <is>
          <t>Unfocused breadth</t>
        </is>
      </c>
      <c r="J142" s="7" t="inlineStr">
        <is>
          <t>Solopreneurs organising everything</t>
        </is>
      </c>
      <c r="K142" s="5" t="n">
        <v>5</v>
      </c>
      <c r="L142" s="5" t="n">
        <v>8</v>
      </c>
      <c r="M142" s="5" t="n">
        <v>6</v>
      </c>
      <c r="N142" s="5" t="n">
        <v>6.3</v>
      </c>
      <c r="O142" s="5" t="n">
        <v>6</v>
      </c>
    </row>
    <row r="143" ht="58" customHeight="1">
      <c r="A143" s="9">
        <f>IMAGE("https://www.google.com/s2/favicons?domain=github.com&amp;sz=64")</f>
        <v/>
      </c>
      <c r="B143" s="10" t="inlineStr">
        <is>
          <t>Cal.com</t>
        </is>
      </c>
      <c r="C143" s="11" t="inlineStr">
        <is>
          <t>Open source (GitHub)</t>
        </is>
      </c>
      <c r="D143" s="12" t="inlineStr">
        <is>
          <t>github.com/calcom/cal.com</t>
        </is>
      </c>
      <c r="E143" s="11" t="inlineStr">
        <is>
          <t>Open-source Calendly alternative with API-first design + Cal.ai agent</t>
        </is>
      </c>
      <c r="F143" s="11" t="inlineStr">
        <is>
          <t>Free self-host; cloud free/$15/user/mo</t>
        </is>
      </c>
      <c r="G143" s="11" t="inlineStr">
        <is>
          <t>Yes — official/community MCP; API-first</t>
        </is>
      </c>
      <c r="H143" s="11" t="inlineStr">
        <is>
          <t>Own your scheduling stack; white-label</t>
        </is>
      </c>
      <c r="I143" s="11" t="inlineStr">
        <is>
          <t>Self-host maintenance</t>
        </is>
      </c>
      <c r="J143" s="11" t="inlineStr">
        <is>
          <t>Companies embedding scheduling</t>
        </is>
      </c>
      <c r="K143" s="9" t="n">
        <v>8</v>
      </c>
      <c r="L143" s="9" t="n">
        <v>9</v>
      </c>
      <c r="M143" s="9" t="n">
        <v>8</v>
      </c>
      <c r="N143" s="9" t="n">
        <v>8.300000000000001</v>
      </c>
      <c r="O143" s="9" t="n">
        <v>1</v>
      </c>
    </row>
    <row r="144" ht="22" customHeight="1">
      <c r="A144" s="4" t="inlineStr">
        <is>
          <t>AI Spreadsheets</t>
        </is>
      </c>
    </row>
    <row r="145" ht="58" customHeight="1">
      <c r="A145" s="5">
        <f>IMAGE("https://www.google.com/s2/favicons?domain=rows.com&amp;sz=64")</f>
        <v/>
      </c>
      <c r="B145" s="6" t="inlineStr">
        <is>
          <t>Rows</t>
        </is>
      </c>
      <c r="C145" s="7" t="inlineStr">
        <is>
          <t>Freemium</t>
        </is>
      </c>
      <c r="D145" s="8" t="inlineStr">
        <is>
          <t>rows.com</t>
        </is>
      </c>
      <c r="E145" s="7" t="inlineStr">
        <is>
          <t>Modern spreadsheet with built-in AI analyst and live data integrations</t>
        </is>
      </c>
      <c r="F145" s="7" t="inlineStr">
        <is>
          <t>Free; Plus from $15/mo</t>
        </is>
      </c>
      <c r="G145" s="7" t="inlineStr">
        <is>
          <t>No — OpenAI-powered AI features</t>
        </is>
      </c>
      <c r="H145" s="7" t="inlineStr">
        <is>
          <t>Native data connectors; AI analysis built in</t>
        </is>
      </c>
      <c r="I145" s="7" t="inlineStr">
        <is>
          <t>Migration from Excel/Sheets</t>
        </is>
      </c>
      <c r="J145" s="7" t="inlineStr">
        <is>
          <t>Marketing/ops dashboards</t>
        </is>
      </c>
      <c r="K145" s="5" t="n">
        <v>6</v>
      </c>
      <c r="L145" s="5" t="n">
        <v>7</v>
      </c>
      <c r="M145" s="5" t="n">
        <v>8</v>
      </c>
      <c r="N145" s="5" t="n">
        <v>7</v>
      </c>
      <c r="O145" s="5" t="n">
        <v>3</v>
      </c>
    </row>
    <row r="146" ht="58" customHeight="1">
      <c r="A146" s="5">
        <f>IMAGE("https://www.google.com/s2/favicons?domain=thebricks.com&amp;sz=64")</f>
        <v/>
      </c>
      <c r="B146" s="6" t="inlineStr">
        <is>
          <t>Bricks</t>
        </is>
      </c>
      <c r="C146" s="7" t="inlineStr">
        <is>
          <t>Freemium</t>
        </is>
      </c>
      <c r="D146" s="8" t="inlineStr">
        <is>
          <t>thebricks.com</t>
        </is>
      </c>
      <c r="E146" s="7" t="inlineStr">
        <is>
          <t>AI spreadsheet that also generates docs/decks from your data</t>
        </is>
      </c>
      <c r="F146" s="7" t="inlineStr">
        <is>
          <t>Free; from $10/mo</t>
        </is>
      </c>
      <c r="G146" s="7" t="inlineStr">
        <is>
          <t>No</t>
        </is>
      </c>
      <c r="H146" s="7" t="inlineStr">
        <is>
          <t>Spreadsheet + visual reports in one</t>
        </is>
      </c>
      <c r="I146" s="7" t="inlineStr">
        <is>
          <t>Young product</t>
        </is>
      </c>
      <c r="J146" s="7" t="inlineStr">
        <is>
          <t>SMB reporting</t>
        </is>
      </c>
      <c r="K146" s="5" t="n">
        <v>4</v>
      </c>
      <c r="L146" s="5" t="n">
        <v>7</v>
      </c>
      <c r="M146" s="5" t="n">
        <v>6</v>
      </c>
      <c r="N146" s="5" t="n">
        <v>5.7</v>
      </c>
      <c r="O146" s="5" t="n">
        <v>6</v>
      </c>
    </row>
    <row r="147" ht="58" customHeight="1">
      <c r="A147" s="5">
        <f>IMAGE("https://www.google.com/s2/favicons?domain=formulabot.com&amp;sz=64")</f>
        <v/>
      </c>
      <c r="B147" s="6" t="inlineStr">
        <is>
          <t>Formula Bot</t>
        </is>
      </c>
      <c r="C147" s="7" t="inlineStr">
        <is>
          <t>Freemium</t>
        </is>
      </c>
      <c r="D147" s="8" t="inlineStr">
        <is>
          <t>formulabot.com</t>
        </is>
      </c>
      <c r="E147" s="7" t="inlineStr">
        <is>
          <t>Text-to-formula and AI data analysis for Excel/Sheets</t>
        </is>
      </c>
      <c r="F147" s="7" t="inlineStr">
        <is>
          <t>Free; ~$9/mo</t>
        </is>
      </c>
      <c r="G147" s="7" t="inlineStr">
        <is>
          <t>No</t>
        </is>
      </c>
      <c r="H147" s="7" t="inlineStr">
        <is>
          <t>Solves the 'what formula do I need' problem cheaply</t>
        </is>
      </c>
      <c r="I147" s="7" t="inlineStr">
        <is>
          <t>Narrow scope</t>
        </is>
      </c>
      <c r="J147" s="7" t="inlineStr">
        <is>
          <t>Spreadsheet non-experts</t>
        </is>
      </c>
      <c r="K147" s="5" t="n">
        <v>4</v>
      </c>
      <c r="L147" s="5" t="n">
        <v>8</v>
      </c>
      <c r="M147" s="5" t="n">
        <v>5</v>
      </c>
      <c r="N147" s="5" t="n">
        <v>5.7</v>
      </c>
      <c r="O147" s="5" t="n">
        <v>7</v>
      </c>
    </row>
    <row r="148" ht="58" customHeight="1">
      <c r="A148" s="5">
        <f>IMAGE("https://www.google.com/s2/favicons?domain=gigasheet.com&amp;sz=64")</f>
        <v/>
      </c>
      <c r="B148" s="6" t="inlineStr">
        <is>
          <t>Gigasheet</t>
        </is>
      </c>
      <c r="C148" s="7" t="inlineStr">
        <is>
          <t>Freemium</t>
        </is>
      </c>
      <c r="D148" s="8" t="inlineStr">
        <is>
          <t>gigasheet.com</t>
        </is>
      </c>
      <c r="E148" s="7" t="inlineStr">
        <is>
          <t>Browser spreadsheet for billion-row datasets with AI analysis</t>
        </is>
      </c>
      <c r="F148" s="7" t="inlineStr">
        <is>
          <t>Free; Premium from $95/mo</t>
        </is>
      </c>
      <c r="G148" s="7" t="inlineStr">
        <is>
          <t>No</t>
        </is>
      </c>
      <c r="H148" s="7" t="inlineStr">
        <is>
          <t>Handles data Excel can't open</t>
        </is>
      </c>
      <c r="I148" s="7" t="inlineStr">
        <is>
          <t>Pricey paid tiers</t>
        </is>
      </c>
      <c r="J148" s="7" t="inlineStr">
        <is>
          <t>Analysts with huge CSVs</t>
        </is>
      </c>
      <c r="K148" s="5" t="n">
        <v>4</v>
      </c>
      <c r="L148" s="5" t="n">
        <v>5</v>
      </c>
      <c r="M148" s="5" t="n">
        <v>7</v>
      </c>
      <c r="N148" s="5" t="n">
        <v>5.3</v>
      </c>
      <c r="O148" s="5" t="n">
        <v>9</v>
      </c>
    </row>
    <row r="149" ht="58" customHeight="1">
      <c r="A149" s="5">
        <f>IMAGE("https://www.google.com/s2/favicons?domain=sheetai.app&amp;sz=64")</f>
        <v/>
      </c>
      <c r="B149" s="6" t="inlineStr">
        <is>
          <t>SheetAI</t>
        </is>
      </c>
      <c r="C149" s="7" t="inlineStr">
        <is>
          <t>Freemium</t>
        </is>
      </c>
      <c r="D149" s="8" t="inlineStr">
        <is>
          <t>sheetai.app</t>
        </is>
      </c>
      <c r="E149" s="7" t="inlineStr">
        <is>
          <t>Google Sheets add-on bringing AI functions (SHEETAI formulas) into cells</t>
        </is>
      </c>
      <c r="F149" s="7" t="inlineStr">
        <is>
          <t>Free; from $8/mo</t>
        </is>
      </c>
      <c r="G149" s="7" t="inlineStr">
        <is>
          <t>No — OpenAI key based</t>
        </is>
      </c>
      <c r="H149" s="7" t="inlineStr">
        <is>
          <t>AI as a formula inside Sheets</t>
        </is>
      </c>
      <c r="I149" s="7" t="inlineStr">
        <is>
          <t>Add-on limits; BYO API key</t>
        </is>
      </c>
      <c r="J149" s="7" t="inlineStr">
        <is>
          <t>Sheets power users</t>
        </is>
      </c>
      <c r="K149" s="5" t="n">
        <v>4</v>
      </c>
      <c r="L149" s="5" t="n">
        <v>8</v>
      </c>
      <c r="M149" s="5" t="n">
        <v>5</v>
      </c>
      <c r="N149" s="5" t="n">
        <v>5.7</v>
      </c>
      <c r="O149" s="5" t="n">
        <v>8</v>
      </c>
    </row>
    <row r="150" ht="58" customHeight="1">
      <c r="A150" s="5">
        <f>IMAGE("https://www.google.com/s2/favicons?domain=microsoft.com&amp;sz=64")</f>
        <v/>
      </c>
      <c r="B150" s="6" t="inlineStr">
        <is>
          <t>Excel + Copilot</t>
        </is>
      </c>
      <c r="C150" s="7" t="inlineStr">
        <is>
          <t>Paid</t>
        </is>
      </c>
      <c r="D150" s="8" t="inlineStr">
        <is>
          <t>microsoft.com/microsoft-365</t>
        </is>
      </c>
      <c r="E150" s="7" t="inlineStr">
        <is>
          <t>Microsoft 365 Copilot inside Excel for analysis and formula help</t>
        </is>
      </c>
      <c r="F150" s="7" t="inlineStr">
        <is>
          <t>M365 Copilot $30/user/mo</t>
        </is>
      </c>
      <c r="G150" s="7" t="inlineStr">
        <is>
          <t>No</t>
        </is>
      </c>
      <c r="H150" s="7" t="inlineStr">
        <is>
          <t>Native in the world's spreadsheet</t>
        </is>
      </c>
      <c r="I150" s="7" t="inlineStr">
        <is>
          <t>Expensive; uneven results</t>
        </is>
      </c>
      <c r="J150" s="7" t="inlineStr">
        <is>
          <t>Enterprises on M365</t>
        </is>
      </c>
      <c r="K150" s="5" t="n">
        <v>6</v>
      </c>
      <c r="L150" s="5" t="n">
        <v>5</v>
      </c>
      <c r="M150" s="5" t="n">
        <v>7</v>
      </c>
      <c r="N150" s="5" t="n">
        <v>6</v>
      </c>
      <c r="O150" s="5" t="n">
        <v>5</v>
      </c>
    </row>
    <row r="151" ht="58" customHeight="1">
      <c r="A151" s="5">
        <f>IMAGE("https://www.google.com/s2/favicons?domain=claude.ai&amp;sz=64")</f>
        <v/>
      </c>
      <c r="B151" s="6" t="inlineStr">
        <is>
          <t>Claude (data analysis)</t>
        </is>
      </c>
      <c r="C151" s="7" t="inlineStr">
        <is>
          <t>Freemium</t>
        </is>
      </c>
      <c r="D151" s="8" t="inlineStr">
        <is>
          <t>claude.ai</t>
        </is>
      </c>
      <c r="E151" s="7" t="inlineStr">
        <is>
          <t>Upload CSV/XLSX to Claude — it writes and runs analysis code on your data</t>
        </is>
      </c>
      <c r="F151" s="7" t="inlineStr">
        <is>
          <t>Free; Pro $20/mo</t>
        </is>
      </c>
      <c r="G151" s="7" t="inlineStr">
        <is>
          <t>Native</t>
        </is>
      </c>
      <c r="H151" s="7" t="inlineStr">
        <is>
          <t>Conversational analysis without leaving Claude; charts via artifacts</t>
        </is>
      </c>
      <c r="I151" s="7" t="inlineStr">
        <is>
          <t>Not a live spreadsheet; file size limits</t>
        </is>
      </c>
      <c r="J151" s="7" t="inlineStr">
        <is>
          <t>Anyone already paying for Claude</t>
        </is>
      </c>
      <c r="K151" s="5" t="n">
        <v>10</v>
      </c>
      <c r="L151" s="5" t="n">
        <v>8</v>
      </c>
      <c r="M151" s="5" t="n">
        <v>8</v>
      </c>
      <c r="N151" s="5" t="n">
        <v>8.699999999999999</v>
      </c>
      <c r="O151" s="5" t="n">
        <v>1</v>
      </c>
    </row>
    <row r="152" ht="58" customHeight="1">
      <c r="A152" s="9">
        <f>IMAGE("https://www.google.com/s2/favicons?domain=github.com&amp;sz=64")</f>
        <v/>
      </c>
      <c r="B152" s="10" t="inlineStr">
        <is>
          <t>Quadratic</t>
        </is>
      </c>
      <c r="C152" s="11" t="inlineStr">
        <is>
          <t>Open source (GitHub)</t>
        </is>
      </c>
      <c r="D152" s="12" t="inlineStr">
        <is>
          <t>github.com/quadratichq/quadratic</t>
        </is>
      </c>
      <c r="E152" s="11" t="inlineStr">
        <is>
          <t>Open-source AI spreadsheet with Python/SQL/JS in cells</t>
        </is>
      </c>
      <c r="F152" s="11" t="inlineStr">
        <is>
          <t>Free tier; self-host; paid plans</t>
        </is>
      </c>
      <c r="G152" s="11" t="inlineStr">
        <is>
          <t>Yes — Claude selectable among its AI models</t>
        </is>
      </c>
      <c r="H152" s="11" t="inlineStr">
        <is>
          <t>Code-native spreadsheet; open source; AI chat with data</t>
        </is>
      </c>
      <c r="I152" s="11" t="inlineStr">
        <is>
          <t>Different paradigm than Excel</t>
        </is>
      </c>
      <c r="J152" s="11" t="inlineStr">
        <is>
          <t>Technical analysts</t>
        </is>
      </c>
      <c r="K152" s="9" t="n">
        <v>8</v>
      </c>
      <c r="L152" s="9" t="n">
        <v>9</v>
      </c>
      <c r="M152" s="9" t="n">
        <v>8</v>
      </c>
      <c r="N152" s="9" t="n">
        <v>8.300000000000001</v>
      </c>
      <c r="O152" s="9" t="n">
        <v>2</v>
      </c>
    </row>
    <row r="153" ht="58" customHeight="1">
      <c r="A153" s="9">
        <f>IMAGE("https://www.google.com/s2/favicons?domain=github.com&amp;sz=64")</f>
        <v/>
      </c>
      <c r="B153" s="10" t="inlineStr">
        <is>
          <t>Univer</t>
        </is>
      </c>
      <c r="C153" s="11" t="inlineStr">
        <is>
          <t>Open source (GitHub)</t>
        </is>
      </c>
      <c r="D153" s="12" t="inlineStr">
        <is>
          <t>github.com/dream-num/univer</t>
        </is>
      </c>
      <c r="E153" s="11" t="inlineStr">
        <is>
          <t>Open-source embeddable docs/sheets engine (Google Docs/Sheets alternative)</t>
        </is>
      </c>
      <c r="F153" s="11" t="inlineStr">
        <is>
          <t>Free (self-host)</t>
        </is>
      </c>
      <c r="G153" s="11" t="inlineStr">
        <is>
          <t>Partial — embed your own Claude-powered features</t>
        </is>
      </c>
      <c r="H153" s="11" t="inlineStr">
        <is>
          <t>Embed full spreadsheets in your apps</t>
        </is>
      </c>
      <c r="I153" s="11" t="inlineStr">
        <is>
          <t>Developer framework, not end-user app</t>
        </is>
      </c>
      <c r="J153" s="11" t="inlineStr">
        <is>
          <t>Product teams embedding sheets</t>
        </is>
      </c>
      <c r="K153" s="9" t="n">
        <v>5</v>
      </c>
      <c r="L153" s="9" t="n">
        <v>9</v>
      </c>
      <c r="M153" s="9" t="n">
        <v>6</v>
      </c>
      <c r="N153" s="9" t="n">
        <v>6.7</v>
      </c>
      <c r="O153" s="9" t="n">
        <v>4</v>
      </c>
    </row>
    <row r="154" ht="22" customHeight="1">
      <c r="A154" s="4" t="inlineStr">
        <is>
          <t>AI Data Visualization &amp; Analysis</t>
        </is>
      </c>
    </row>
    <row r="155" ht="58" customHeight="1">
      <c r="A155" s="5">
        <f>IMAGE("https://www.google.com/s2/favicons?domain=julius.ai&amp;sz=64")</f>
        <v/>
      </c>
      <c r="B155" s="6" t="inlineStr">
        <is>
          <t>Julius AI</t>
        </is>
      </c>
      <c r="C155" s="7" t="inlineStr">
        <is>
          <t>Freemium</t>
        </is>
      </c>
      <c r="D155" s="8" t="inlineStr">
        <is>
          <t>julius.ai</t>
        </is>
      </c>
      <c r="E155" s="7" t="inlineStr">
        <is>
          <t>Chat-with-your-data analysis and charting from files</t>
        </is>
      </c>
      <c r="F155" s="7" t="inlineStr">
        <is>
          <t>Free; from $20/mo</t>
        </is>
      </c>
      <c r="G155" s="7" t="inlineStr">
        <is>
          <t>Yes — Claude among its underlying models</t>
        </is>
      </c>
      <c r="H155" s="7" t="inlineStr">
        <is>
          <t>Easy stats + viz for non-coders</t>
        </is>
      </c>
      <c r="I155" s="7" t="inlineStr">
        <is>
          <t>Cloud-only data concerns</t>
        </is>
      </c>
      <c r="J155" s="7" t="inlineStr">
        <is>
          <t>Students and analysts without code</t>
        </is>
      </c>
      <c r="K155" s="5" t="n">
        <v>6</v>
      </c>
      <c r="L155" s="5" t="n">
        <v>7</v>
      </c>
      <c r="M155" s="5" t="n">
        <v>7</v>
      </c>
      <c r="N155" s="5" t="n">
        <v>6.7</v>
      </c>
      <c r="O155" s="5" t="n">
        <v>6</v>
      </c>
    </row>
    <row r="156" ht="58" customHeight="1">
      <c r="A156" s="5">
        <f>IMAGE("https://www.google.com/s2/favicons?domain=hex.tech&amp;sz=64")</f>
        <v/>
      </c>
      <c r="B156" s="6" t="inlineStr">
        <is>
          <t>Hex</t>
        </is>
      </c>
      <c r="C156" s="7" t="inlineStr">
        <is>
          <t>Freemium</t>
        </is>
      </c>
      <c r="D156" s="8" t="inlineStr">
        <is>
          <t>hex.tech</t>
        </is>
      </c>
      <c r="E156" s="7" t="inlineStr">
        <is>
          <t>Collaborative data notebooks with Magic AI (SQL/Python generation)</t>
        </is>
      </c>
      <c r="F156" s="7" t="inlineStr">
        <is>
          <t>Free; Pro ~$36/user/mo</t>
        </is>
      </c>
      <c r="G156" s="7" t="inlineStr">
        <is>
          <t>Yes — Anthropic models power Hex Magic</t>
        </is>
      </c>
      <c r="H156" s="7" t="inlineStr">
        <is>
          <t>Real data-team workflows + AI</t>
        </is>
      </c>
      <c r="I156" s="7" t="inlineStr">
        <is>
          <t>Aimed at data teams, not casual users</t>
        </is>
      </c>
      <c r="J156" s="7" t="inlineStr">
        <is>
          <t>Data scientists and analytics teams</t>
        </is>
      </c>
      <c r="K156" s="5" t="n">
        <v>8</v>
      </c>
      <c r="L156" s="5" t="n">
        <v>6</v>
      </c>
      <c r="M156" s="5" t="n">
        <v>9</v>
      </c>
      <c r="N156" s="5" t="n">
        <v>7.7</v>
      </c>
      <c r="O156" s="5" t="n">
        <v>5</v>
      </c>
    </row>
    <row r="157" ht="58" customHeight="1">
      <c r="A157" s="5">
        <f>IMAGE("https://www.google.com/s2/favicons?domain=flourish.studio&amp;sz=64")</f>
        <v/>
      </c>
      <c r="B157" s="6" t="inlineStr">
        <is>
          <t>Flourish</t>
        </is>
      </c>
      <c r="C157" s="7" t="inlineStr">
        <is>
          <t>Freemium</t>
        </is>
      </c>
      <c r="D157" s="8" t="inlineStr">
        <is>
          <t>flourish.studio</t>
        </is>
      </c>
      <c r="E157" s="7" t="inlineStr">
        <is>
          <t>Beautiful interactive charts, maps and data stories (Canva-owned)</t>
        </is>
      </c>
      <c r="F157" s="7" t="inlineStr">
        <is>
          <t>Free (public); from $69/mo</t>
        </is>
      </c>
      <c r="G157" s="7" t="inlineStr">
        <is>
          <t>No</t>
        </is>
      </c>
      <c r="H157" s="7" t="inlineStr">
        <is>
          <t>Stunning publication-grade visuals</t>
        </is>
      </c>
      <c r="I157" s="7" t="inlineStr">
        <is>
          <t>Pricey private tiers; AI light</t>
        </is>
      </c>
      <c r="J157" s="7" t="inlineStr">
        <is>
          <t>Journalists and comms teams</t>
        </is>
      </c>
      <c r="K157" s="5" t="n">
        <v>5</v>
      </c>
      <c r="L157" s="5" t="n">
        <v>5</v>
      </c>
      <c r="M157" s="5" t="n">
        <v>8</v>
      </c>
      <c r="N157" s="5" t="n">
        <v>6</v>
      </c>
      <c r="O157" s="5" t="n">
        <v>7</v>
      </c>
    </row>
    <row r="158" ht="58" customHeight="1">
      <c r="A158" s="5">
        <f>IMAGE("https://www.google.com/s2/favicons?domain=visme.co&amp;sz=64")</f>
        <v/>
      </c>
      <c r="B158" s="6" t="inlineStr">
        <is>
          <t>Visme</t>
        </is>
      </c>
      <c r="C158" s="7" t="inlineStr">
        <is>
          <t>Freemium</t>
        </is>
      </c>
      <c r="D158" s="8" t="inlineStr">
        <is>
          <t>visme.co</t>
        </is>
      </c>
      <c r="E158" s="7" t="inlineStr">
        <is>
          <t>Infographics, reports and presentations with AI generation</t>
        </is>
      </c>
      <c r="F158" s="7" t="inlineStr">
        <is>
          <t>Free; from $12.25/mo</t>
        </is>
      </c>
      <c r="G158" s="7" t="inlineStr">
        <is>
          <t>No</t>
        </is>
      </c>
      <c r="H158" s="7" t="inlineStr">
        <is>
          <t>Strong infographic templates</t>
        </is>
      </c>
      <c r="I158" s="7" t="inlineStr">
        <is>
          <t>Editor can lag; watermarks on free</t>
        </is>
      </c>
      <c r="J158" s="7" t="inlineStr">
        <is>
          <t>Marketing infographics</t>
        </is>
      </c>
      <c r="K158" s="5" t="n">
        <v>4</v>
      </c>
      <c r="L158" s="5" t="n">
        <v>7</v>
      </c>
      <c r="M158" s="5" t="n">
        <v>6</v>
      </c>
      <c r="N158" s="5" t="n">
        <v>5.7</v>
      </c>
      <c r="O158" s="5" t="n">
        <v>9</v>
      </c>
    </row>
    <row r="159" ht="58" customHeight="1">
      <c r="A159" s="5">
        <f>IMAGE("https://www.google.com/s2/favicons?domain=zingdata.com&amp;sz=64")</f>
        <v/>
      </c>
      <c r="B159" s="6" t="inlineStr">
        <is>
          <t>Zing Data</t>
        </is>
      </c>
      <c r="C159" s="7" t="inlineStr">
        <is>
          <t>Freemium</t>
        </is>
      </c>
      <c r="D159" s="8" t="inlineStr">
        <is>
          <t>zingdata.com</t>
        </is>
      </c>
      <c r="E159" s="7" t="inlineStr">
        <is>
          <t>Mobile-first collaborative BI with natural-language queries</t>
        </is>
      </c>
      <c r="F159" s="7" t="inlineStr">
        <is>
          <t>Free; from $10/user/mo</t>
        </is>
      </c>
      <c r="G159" s="7" t="inlineStr">
        <is>
          <t>No</t>
        </is>
      </c>
      <c r="H159" s="7" t="inlineStr">
        <is>
          <t>Query data from your phone; cheap</t>
        </is>
      </c>
      <c r="I159" s="7" t="inlineStr">
        <is>
          <t>Lightweight vs desktop BI</t>
        </is>
      </c>
      <c r="J159" s="7" t="inlineStr">
        <is>
          <t>Field teams checking metrics</t>
        </is>
      </c>
      <c r="K159" s="5" t="n">
        <v>4</v>
      </c>
      <c r="L159" s="5" t="n">
        <v>8</v>
      </c>
      <c r="M159" s="5" t="n">
        <v>6</v>
      </c>
      <c r="N159" s="5" t="n">
        <v>6</v>
      </c>
      <c r="O159" s="5" t="n">
        <v>8</v>
      </c>
    </row>
    <row r="160" ht="58" customHeight="1">
      <c r="A160" s="5">
        <f>IMAGE("https://www.google.com/s2/favicons?domain=deckopilot.com&amp;sz=64")</f>
        <v/>
      </c>
      <c r="B160" s="6" t="inlineStr">
        <is>
          <t>Deckopilot</t>
        </is>
      </c>
      <c r="C160" s="7" t="inlineStr">
        <is>
          <t>Paid</t>
        </is>
      </c>
      <c r="D160" s="8" t="inlineStr">
        <is>
          <t>deckopilot.com</t>
        </is>
      </c>
      <c r="E160" s="7" t="inlineStr">
        <is>
          <t>AI assistant for building data-driven decks (small vendor)</t>
        </is>
      </c>
      <c r="F160" s="7" t="inlineStr">
        <is>
          <t>~$10-20/mo</t>
        </is>
      </c>
      <c r="G160" s="7" t="inlineStr">
        <is>
          <t>No</t>
        </is>
      </c>
      <c r="H160" s="7" t="inlineStr">
        <is>
          <t>Deck-focused automation</t>
        </is>
      </c>
      <c r="I160" s="7" t="inlineStr">
        <is>
          <t>Obscure; verify vendor before buying</t>
        </is>
      </c>
      <c r="J160" s="7" t="inlineStr">
        <is>
          <t>Niche deck builders</t>
        </is>
      </c>
      <c r="K160" s="5" t="n">
        <v>2</v>
      </c>
      <c r="L160" s="5" t="n">
        <v>6</v>
      </c>
      <c r="M160" s="5" t="n">
        <v>3</v>
      </c>
      <c r="N160" s="5" t="n">
        <v>3.7</v>
      </c>
      <c r="O160" s="5" t="n">
        <v>10</v>
      </c>
    </row>
    <row r="161" ht="58" customHeight="1">
      <c r="A161" s="9">
        <f>IMAGE("https://www.google.com/s2/favicons?domain=github.com&amp;sz=64")</f>
        <v/>
      </c>
      <c r="B161" s="10" t="inlineStr">
        <is>
          <t>Metabase</t>
        </is>
      </c>
      <c r="C161" s="11" t="inlineStr">
        <is>
          <t>Open source (GitHub)</t>
        </is>
      </c>
      <c r="D161" s="12" t="inlineStr">
        <is>
          <t>github.com/metabase/metabase</t>
        </is>
      </c>
      <c r="E161" s="11" t="inlineStr">
        <is>
          <t>Open-source BI: dashboards, SQL and no-code questions (+Metabot AI)</t>
        </is>
      </c>
      <c r="F161" s="11" t="inlineStr">
        <is>
          <t>Free self-host; cloud from $85/mo</t>
        </is>
      </c>
      <c r="G161" s="11" t="inlineStr">
        <is>
          <t>Partial — community MCP servers for Claude</t>
        </is>
      </c>
      <c r="H161" s="11" t="inlineStr">
        <is>
          <t>Easiest OSS BI; huge adoption</t>
        </is>
      </c>
      <c r="I161" s="11" t="inlineStr">
        <is>
          <t>AI features mostly on paid cloud</t>
        </is>
      </c>
      <c r="J161" s="11" t="inlineStr">
        <is>
          <t>SMBs self-hosting analytics</t>
        </is>
      </c>
      <c r="K161" s="9" t="n">
        <v>7</v>
      </c>
      <c r="L161" s="9" t="n">
        <v>9</v>
      </c>
      <c r="M161" s="9" t="n">
        <v>8</v>
      </c>
      <c r="N161" s="9" t="n">
        <v>8</v>
      </c>
      <c r="O161" s="9" t="n">
        <v>3</v>
      </c>
    </row>
    <row r="162" ht="58" customHeight="1">
      <c r="A162" s="9">
        <f>IMAGE("https://www.google.com/s2/favicons?domain=github.com&amp;sz=64")</f>
        <v/>
      </c>
      <c r="B162" s="10" t="inlineStr">
        <is>
          <t>Apache Superset</t>
        </is>
      </c>
      <c r="C162" s="11" t="inlineStr">
        <is>
          <t>Open source (GitHub)</t>
        </is>
      </c>
      <c r="D162" s="12" t="inlineStr">
        <is>
          <t>github.com/apache/superset</t>
        </is>
      </c>
      <c r="E162" s="11" t="inlineStr">
        <is>
          <t>Powerful open-source BI/dashboard platform from Apache</t>
        </is>
      </c>
      <c r="F162" s="11" t="inlineStr">
        <is>
          <t>Free (self-host)</t>
        </is>
      </c>
      <c r="G162" s="11" t="inlineStr">
        <is>
          <t>Partial — community MCP/LLM integrations</t>
        </is>
      </c>
      <c r="H162" s="11" t="inlineStr">
        <is>
          <t>Enterprise-grade and free; SQL-native</t>
        </is>
      </c>
      <c r="I162" s="11" t="inlineStr">
        <is>
          <t>Steeper setup/admin than Metabase</t>
        </is>
      </c>
      <c r="J162" s="11" t="inlineStr">
        <is>
          <t>Data teams with infra skills</t>
        </is>
      </c>
      <c r="K162" s="9" t="n">
        <v>6</v>
      </c>
      <c r="L162" s="9" t="n">
        <v>10</v>
      </c>
      <c r="M162" s="9" t="n">
        <v>8</v>
      </c>
      <c r="N162" s="9" t="n">
        <v>8</v>
      </c>
      <c r="O162" s="9" t="n">
        <v>4</v>
      </c>
    </row>
    <row r="163" ht="58" customHeight="1">
      <c r="A163" s="9">
        <f>IMAGE("https://www.google.com/s2/favicons?domain=github.com&amp;sz=64")</f>
        <v/>
      </c>
      <c r="B163" s="10" t="inlineStr">
        <is>
          <t>Grafana</t>
        </is>
      </c>
      <c r="C163" s="11" t="inlineStr">
        <is>
          <t>Open source (GitHub)</t>
        </is>
      </c>
      <c r="D163" s="12" t="inlineStr">
        <is>
          <t>github.com/grafana/grafana</t>
        </is>
      </c>
      <c r="E163" s="11" t="inlineStr">
        <is>
          <t>The standard for metrics/observability dashboards (+LLM plugin)</t>
        </is>
      </c>
      <c r="F163" s="11" t="inlineStr">
        <is>
          <t>Free self-host; cloud free tier</t>
        </is>
      </c>
      <c r="G163" s="11" t="inlineStr">
        <is>
          <t>Partial — Grafana LLM app supports Anthropic</t>
        </is>
      </c>
      <c r="H163" s="11" t="inlineStr">
        <is>
          <t>Unbeatable for time-series; massive plugin world</t>
        </is>
      </c>
      <c r="I163" s="11" t="inlineStr">
        <is>
          <t>Ops-flavoured, not business BI</t>
        </is>
      </c>
      <c r="J163" s="11" t="inlineStr">
        <is>
          <t>DevOps and monitoring</t>
        </is>
      </c>
      <c r="K163" s="9" t="n">
        <v>7</v>
      </c>
      <c r="L163" s="9" t="n">
        <v>10</v>
      </c>
      <c r="M163" s="9" t="n">
        <v>8</v>
      </c>
      <c r="N163" s="9" t="n">
        <v>8.300000000000001</v>
      </c>
      <c r="O163" s="9" t="n">
        <v>2</v>
      </c>
    </row>
    <row r="164" ht="58" customHeight="1">
      <c r="A164" s="9">
        <f>IMAGE("https://www.google.com/s2/favicons?domain=github.com&amp;sz=64")</f>
        <v/>
      </c>
      <c r="B164" s="10" t="inlineStr">
        <is>
          <t>Streamlit</t>
        </is>
      </c>
      <c r="C164" s="11" t="inlineStr">
        <is>
          <t>Open source (GitHub)</t>
        </is>
      </c>
      <c r="D164" s="12" t="inlineStr">
        <is>
          <t>github.com/streamlit/streamlit</t>
        </is>
      </c>
      <c r="E164" s="11" t="inlineStr">
        <is>
          <t>Turn Python scripts into data apps — Claude writes these well</t>
        </is>
      </c>
      <c r="F164" s="11" t="inlineStr">
        <is>
          <t>Free; free community cloud</t>
        </is>
      </c>
      <c r="G164" s="11" t="inlineStr">
        <is>
          <t>Yes — Claude/Claude Code generates Streamlit apps directly</t>
        </is>
      </c>
      <c r="H164" s="11" t="inlineStr">
        <is>
          <t>Fastest Python-to-app path; free hosting</t>
        </is>
      </c>
      <c r="I164" s="11" t="inlineStr">
        <is>
          <t>Python required</t>
        </is>
      </c>
      <c r="J164" s="11" t="inlineStr">
        <is>
          <t>Data scientists sharing analyses</t>
        </is>
      </c>
      <c r="K164" s="9" t="n">
        <v>8</v>
      </c>
      <c r="L164" s="9" t="n">
        <v>10</v>
      </c>
      <c r="M164" s="9" t="n">
        <v>8</v>
      </c>
      <c r="N164" s="9" t="n">
        <v>8.699999999999999</v>
      </c>
      <c r="O164" s="9" t="n">
        <v>1</v>
      </c>
    </row>
    <row r="165" ht="22" customHeight="1">
      <c r="A165" s="4" t="inlineStr">
        <is>
          <t>AI Knowledge Management</t>
        </is>
      </c>
    </row>
    <row r="166" ht="58" customHeight="1">
      <c r="A166" s="5">
        <f>IMAGE("https://www.google.com/s2/favicons?domain=notion.com&amp;sz=64")</f>
        <v/>
      </c>
      <c r="B166" s="6" t="inlineStr">
        <is>
          <t>Notion</t>
        </is>
      </c>
      <c r="C166" s="7" t="inlineStr">
        <is>
          <t>Freemium</t>
        </is>
      </c>
      <c r="D166" s="8" t="inlineStr">
        <is>
          <t>notion.com</t>
        </is>
      </c>
      <c r="E166" s="7" t="inlineStr">
        <is>
          <t>All-in-one workspace with Notion AI (Q&amp;A, writing, agents, enterprise search)</t>
        </is>
      </c>
      <c r="F166" s="7" t="inlineStr">
        <is>
          <t>Free; Plus $10; AI add-on ~$10/user/mo</t>
        </is>
      </c>
      <c r="G166" s="7" t="inlineStr">
        <is>
          <t>Yes — official Notion MCP connector for Claude</t>
        </is>
      </c>
      <c r="H166" s="7" t="inlineStr">
        <is>
          <t>Flexible workspace standard; Claude can read/write it via MCP</t>
        </is>
      </c>
      <c r="I166" s="7" t="inlineStr">
        <is>
          <t>AI add-on cost; can sprawl</t>
        </is>
      </c>
      <c r="J166" s="7" t="inlineStr">
        <is>
          <t>Teams centralising docs and wikis</t>
        </is>
      </c>
      <c r="K166" s="5" t="n">
        <v>9</v>
      </c>
      <c r="L166" s="5" t="n">
        <v>7</v>
      </c>
      <c r="M166" s="5" t="n">
        <v>9</v>
      </c>
      <c r="N166" s="5" t="n">
        <v>8.300000000000001</v>
      </c>
      <c r="O166" s="5" t="n">
        <v>1</v>
      </c>
    </row>
    <row r="167" ht="58" customHeight="1">
      <c r="A167" s="5">
        <f>IMAGE("https://www.google.com/s2/favicons?domain=mem.ai&amp;sz=64")</f>
        <v/>
      </c>
      <c r="B167" s="6" t="inlineStr">
        <is>
          <t>Mem</t>
        </is>
      </c>
      <c r="C167" s="7" t="inlineStr">
        <is>
          <t>Paid</t>
        </is>
      </c>
      <c r="D167" s="8" t="inlineStr">
        <is>
          <t>mem.ai</t>
        </is>
      </c>
      <c r="E167" s="7" t="inlineStr">
        <is>
          <t>AI-organised notes: auto-tagging, related notes, chat with your notes</t>
        </is>
      </c>
      <c r="F167" s="7" t="inlineStr">
        <is>
          <t>From ~$10/mo</t>
        </is>
      </c>
      <c r="G167" s="7" t="inlineStr">
        <is>
          <t>No</t>
        </is>
      </c>
      <c r="H167" s="7" t="inlineStr">
        <is>
          <t>Zero-friction capture; AI surfacing</t>
        </is>
      </c>
      <c r="I167" s="7" t="inlineStr">
        <is>
          <t>Smaller ecosystem; iOS/web focus</t>
        </is>
      </c>
      <c r="J167" s="7" t="inlineStr">
        <is>
          <t>Individual fast note-takers</t>
        </is>
      </c>
      <c r="K167" s="5" t="n">
        <v>4</v>
      </c>
      <c r="L167" s="5" t="n">
        <v>6</v>
      </c>
      <c r="M167" s="5" t="n">
        <v>6</v>
      </c>
      <c r="N167" s="5" t="n">
        <v>5.3</v>
      </c>
      <c r="O167" s="5" t="n">
        <v>10</v>
      </c>
    </row>
    <row r="168" ht="58" customHeight="1">
      <c r="A168" s="5">
        <f>IMAGE("https://www.google.com/s2/favicons?domain=tettra.com&amp;sz=64")</f>
        <v/>
      </c>
      <c r="B168" s="6" t="inlineStr">
        <is>
          <t>Tettra</t>
        </is>
      </c>
      <c r="C168" s="7" t="inlineStr">
        <is>
          <t>Paid</t>
        </is>
      </c>
      <c r="D168" s="8" t="inlineStr">
        <is>
          <t>tettra.com</t>
        </is>
      </c>
      <c r="E168" s="7" t="inlineStr">
        <is>
          <t>Internal knowledge base with AI Q&amp;A bot for Slack</t>
        </is>
      </c>
      <c r="F168" s="7" t="inlineStr">
        <is>
          <t>From $5/user/mo</t>
        </is>
      </c>
      <c r="G168" s="7" t="inlineStr">
        <is>
          <t>No</t>
        </is>
      </c>
      <c r="H168" s="7" t="inlineStr">
        <is>
          <t>Slack-native answers; curation workflows</t>
        </is>
      </c>
      <c r="I168" s="7" t="inlineStr">
        <is>
          <t>Narrow use case</t>
        </is>
      </c>
      <c r="J168" s="7" t="inlineStr">
        <is>
          <t>Support/ops teams in Slack</t>
        </is>
      </c>
      <c r="K168" s="5" t="n">
        <v>5</v>
      </c>
      <c r="L168" s="5" t="n">
        <v>7</v>
      </c>
      <c r="M168" s="5" t="n">
        <v>6</v>
      </c>
      <c r="N168" s="5" t="n">
        <v>6</v>
      </c>
      <c r="O168" s="5" t="n">
        <v>8</v>
      </c>
    </row>
    <row r="169" ht="58" customHeight="1">
      <c r="A169" s="5">
        <f>IMAGE("https://www.google.com/s2/favicons?domain=getguru.com&amp;sz=64")</f>
        <v/>
      </c>
      <c r="B169" s="6" t="inlineStr">
        <is>
          <t>Guru</t>
        </is>
      </c>
      <c r="C169" s="7" t="inlineStr">
        <is>
          <t>Paid</t>
        </is>
      </c>
      <c r="D169" s="8" t="inlineStr">
        <is>
          <t>getguru.com</t>
        </is>
      </c>
      <c r="E169" s="7" t="inlineStr">
        <is>
          <t>Enterprise search + intranet + wiki with AI answers across your stack</t>
        </is>
      </c>
      <c r="F169" s="7" t="inlineStr">
        <is>
          <t>From $18/user/mo</t>
        </is>
      </c>
      <c r="G169" s="7" t="inlineStr">
        <is>
          <t>No</t>
        </is>
      </c>
      <c r="H169" s="7" t="inlineStr">
        <is>
          <t>Answers where you work (browser/Slack); verification workflow</t>
        </is>
      </c>
      <c r="I169" s="7" t="inlineStr">
        <is>
          <t>Per-seat cost stacks</t>
        </is>
      </c>
      <c r="J169" s="7" t="inlineStr">
        <is>
          <t>Mid-size+ companies unifying knowledge</t>
        </is>
      </c>
      <c r="K169" s="5" t="n">
        <v>6</v>
      </c>
      <c r="L169" s="5" t="n">
        <v>5</v>
      </c>
      <c r="M169" s="5" t="n">
        <v>7</v>
      </c>
      <c r="N169" s="5" t="n">
        <v>6</v>
      </c>
      <c r="O169" s="5" t="n">
        <v>9</v>
      </c>
    </row>
    <row r="170" ht="58" customHeight="1">
      <c r="A170" s="5">
        <f>IMAGE("https://www.google.com/s2/favicons?domain=notebooklm.google.com&amp;sz=64")</f>
        <v/>
      </c>
      <c r="B170" s="6" t="inlineStr">
        <is>
          <t>NotebookLM</t>
        </is>
      </c>
      <c r="C170" s="7" t="inlineStr">
        <is>
          <t>Freemium</t>
        </is>
      </c>
      <c r="D170" s="8" t="inlineStr">
        <is>
          <t>notebooklm.google.com</t>
        </is>
      </c>
      <c r="E170" s="7" t="inlineStr">
        <is>
          <t>Google's source-grounded research notebook with Audio Overviews (podcasts)</t>
        </is>
      </c>
      <c r="F170" s="7" t="inlineStr">
        <is>
          <t>Free; Pro via Google AI plans</t>
        </is>
      </c>
      <c r="G170" s="7" t="inlineStr">
        <is>
          <t>No</t>
        </is>
      </c>
      <c r="H170" s="7" t="inlineStr">
        <is>
          <t>Grounded answers with citations; audio overviews are unique</t>
        </is>
      </c>
      <c r="I170" s="7" t="inlineStr">
        <is>
          <t>Sources capped; Google account needed</t>
        </is>
      </c>
      <c r="J170" s="7" t="inlineStr">
        <is>
          <t>Researchers and students</t>
        </is>
      </c>
      <c r="K170" s="5" t="n">
        <v>5</v>
      </c>
      <c r="L170" s="5" t="n">
        <v>9</v>
      </c>
      <c r="M170" s="5" t="n">
        <v>8</v>
      </c>
      <c r="N170" s="5" t="n">
        <v>7.3</v>
      </c>
      <c r="O170" s="5" t="n">
        <v>3</v>
      </c>
    </row>
    <row r="171" ht="58" customHeight="1">
      <c r="A171" s="9">
        <f>IMAGE("https://www.google.com/s2/favicons?domain=obsidian.md&amp;sz=64")</f>
        <v/>
      </c>
      <c r="B171" s="10" t="inlineStr">
        <is>
          <t>Obsidian</t>
        </is>
      </c>
      <c r="C171" s="11" t="inlineStr">
        <is>
          <t>Free</t>
        </is>
      </c>
      <c r="D171" s="12" t="inlineStr">
        <is>
          <t>obsidian.md</t>
        </is>
      </c>
      <c r="E171" s="11" t="inlineStr">
        <is>
          <t>Local-first markdown knowledge base with huge plugin ecosystem</t>
        </is>
      </c>
      <c r="F171" s="11" t="inlineStr">
        <is>
          <t>Free; Sync $5/mo optional</t>
        </is>
      </c>
      <c r="G171" s="11" t="inlineStr">
        <is>
          <t>Yes — community MCP servers let Claude read/write your vault</t>
        </is>
      </c>
      <c r="H171" s="11" t="inlineStr">
        <is>
          <t>Your notes as local files forever; plugins for everything</t>
        </is>
      </c>
      <c r="I171" s="11" t="inlineStr">
        <is>
          <t>Not OSS (free though); sync costs extra</t>
        </is>
      </c>
      <c r="J171" s="11" t="inlineStr">
        <is>
          <t>Personal knowledge bases that must last</t>
        </is>
      </c>
      <c r="K171" s="9" t="n">
        <v>8</v>
      </c>
      <c r="L171" s="9" t="n">
        <v>9</v>
      </c>
      <c r="M171" s="9" t="n">
        <v>8</v>
      </c>
      <c r="N171" s="9" t="n">
        <v>8.300000000000001</v>
      </c>
      <c r="O171" s="9" t="n">
        <v>2</v>
      </c>
    </row>
    <row r="172" ht="58" customHeight="1">
      <c r="A172" s="9">
        <f>IMAGE("https://www.google.com/s2/favicons?domain=github.com&amp;sz=64")</f>
        <v/>
      </c>
      <c r="B172" s="10" t="inlineStr">
        <is>
          <t>Logseq</t>
        </is>
      </c>
      <c r="C172" s="11" t="inlineStr">
        <is>
          <t>Open source (GitHub)</t>
        </is>
      </c>
      <c r="D172" s="12" t="inlineStr">
        <is>
          <t>github.com/logseq/logseq</t>
        </is>
      </c>
      <c r="E172" s="11" t="inlineStr">
        <is>
          <t>Open-source local-first outliner with bidirectional links</t>
        </is>
      </c>
      <c r="F172" s="11" t="inlineStr">
        <is>
          <t>Free</t>
        </is>
      </c>
      <c r="G172" s="11" t="inlineStr">
        <is>
          <t>Partial — community plugins/MCP</t>
        </is>
      </c>
      <c r="H172" s="11" t="inlineStr">
        <is>
          <t>Truly open Obsidian alternative; daily-notes flow</t>
        </is>
      </c>
      <c r="I172" s="11" t="inlineStr">
        <is>
          <t>Slower development pace lately</t>
        </is>
      </c>
      <c r="J172" s="11" t="inlineStr">
        <is>
          <t>Outliner fans wanting OSS</t>
        </is>
      </c>
      <c r="K172" s="9" t="n">
        <v>5</v>
      </c>
      <c r="L172" s="9" t="n">
        <v>10</v>
      </c>
      <c r="M172" s="9" t="n">
        <v>6</v>
      </c>
      <c r="N172" s="9" t="n">
        <v>7</v>
      </c>
      <c r="O172" s="9" t="n">
        <v>5</v>
      </c>
    </row>
    <row r="173" ht="58" customHeight="1">
      <c r="A173" s="9">
        <f>IMAGE("https://www.google.com/s2/favicons?domain=github.com&amp;sz=64")</f>
        <v/>
      </c>
      <c r="B173" s="10" t="inlineStr">
        <is>
          <t>AFFiNE</t>
        </is>
      </c>
      <c r="C173" s="11" t="inlineStr">
        <is>
          <t>Open source (GitHub)</t>
        </is>
      </c>
      <c r="D173" s="12" t="inlineStr">
        <is>
          <t>github.com/toeverything/AFFiNE</t>
        </is>
      </c>
      <c r="E173" s="11" t="inlineStr">
        <is>
          <t>Open-source Notion alternative: docs + whiteboard + AI</t>
        </is>
      </c>
      <c r="F173" s="11" t="inlineStr">
        <is>
          <t>Free self-host; cloud plans</t>
        </is>
      </c>
      <c r="G173" s="11" t="inlineStr">
        <is>
          <t>Partial — BYO model options</t>
        </is>
      </c>
      <c r="H173" s="11" t="inlineStr">
        <is>
          <t>Docs+canvas in one OSS package</t>
        </is>
      </c>
      <c r="I173" s="11" t="inlineStr">
        <is>
          <t>Still maturing</t>
        </is>
      </c>
      <c r="J173" s="11" t="inlineStr">
        <is>
          <t>Teams wanting self-hosted Notion</t>
        </is>
      </c>
      <c r="K173" s="9" t="n">
        <v>5</v>
      </c>
      <c r="L173" s="9" t="n">
        <v>9</v>
      </c>
      <c r="M173" s="9" t="n">
        <v>6</v>
      </c>
      <c r="N173" s="9" t="n">
        <v>6.7</v>
      </c>
      <c r="O173" s="9" t="n">
        <v>7</v>
      </c>
    </row>
    <row r="174" ht="58" customHeight="1">
      <c r="A174" s="9">
        <f>IMAGE("https://www.google.com/s2/favicons?domain=github.com&amp;sz=64")</f>
        <v/>
      </c>
      <c r="B174" s="10" t="inlineStr">
        <is>
          <t>Outline</t>
        </is>
      </c>
      <c r="C174" s="11" t="inlineStr">
        <is>
          <t>Open source (GitHub)</t>
        </is>
      </c>
      <c r="D174" s="12" t="inlineStr">
        <is>
          <t>github.com/outline/outline</t>
        </is>
      </c>
      <c r="E174" s="11" t="inlineStr">
        <is>
          <t>Fast open-source team wiki with AI answers</t>
        </is>
      </c>
      <c r="F174" s="11" t="inlineStr">
        <is>
          <t>Free self-host; cloud from $10/mo</t>
        </is>
      </c>
      <c r="G174" s="11" t="inlineStr">
        <is>
          <t>Partial — API; community MCP</t>
        </is>
      </c>
      <c r="H174" s="11" t="inlineStr">
        <is>
          <t>Clean, fast team wiki; Slack integration</t>
        </is>
      </c>
      <c r="I174" s="11" t="inlineStr">
        <is>
          <t>Wiki only</t>
        </is>
      </c>
      <c r="J174" s="11" t="inlineStr">
        <is>
          <t>Engineering team documentation</t>
        </is>
      </c>
      <c r="K174" s="9" t="n">
        <v>6</v>
      </c>
      <c r="L174" s="9" t="n">
        <v>9</v>
      </c>
      <c r="M174" s="9" t="n">
        <v>7</v>
      </c>
      <c r="N174" s="9" t="n">
        <v>7.3</v>
      </c>
      <c r="O174" s="9" t="n">
        <v>4</v>
      </c>
    </row>
    <row r="175" ht="58" customHeight="1">
      <c r="A175" s="9">
        <f>IMAGE("https://www.google.com/s2/favicons?domain=github.com&amp;sz=64")</f>
        <v/>
      </c>
      <c r="B175" s="10" t="inlineStr">
        <is>
          <t>Khoj</t>
        </is>
      </c>
      <c r="C175" s="11" t="inlineStr">
        <is>
          <t>Open source (GitHub)</t>
        </is>
      </c>
      <c r="D175" s="12" t="inlineStr">
        <is>
          <t>github.com/khoj-ai/khoj</t>
        </is>
      </c>
      <c r="E175" s="11" t="inlineStr">
        <is>
          <t>Open-source personal AI brain: chat with your notes/docs, agents</t>
        </is>
      </c>
      <c r="F175" s="11" t="inlineStr">
        <is>
          <t>Free self-host; cloud free tier</t>
        </is>
      </c>
      <c r="G175" s="11" t="inlineStr">
        <is>
          <t>Yes — can use Anthropic models</t>
        </is>
      </c>
      <c r="H175" s="11" t="inlineStr">
        <is>
          <t>Self-hosted RAG over your life; multi-source</t>
        </is>
      </c>
      <c r="I175" s="11" t="inlineStr">
        <is>
          <t>Setup effort</t>
        </is>
      </c>
      <c r="J175" s="11" t="inlineStr">
        <is>
          <t>Self-hosters wanting personal AI search</t>
        </is>
      </c>
      <c r="K175" s="9" t="n">
        <v>6</v>
      </c>
      <c r="L175" s="9" t="n">
        <v>9</v>
      </c>
      <c r="M175" s="9" t="n">
        <v>6</v>
      </c>
      <c r="N175" s="9" t="n">
        <v>7</v>
      </c>
      <c r="O175" s="9" t="n">
        <v>6</v>
      </c>
    </row>
    <row r="176" ht="22" customHeight="1">
      <c r="A176" s="4" t="inlineStr">
        <is>
          <t>AI Workflow Automation</t>
        </is>
      </c>
    </row>
    <row r="177" ht="58" customHeight="1">
      <c r="A177" s="5">
        <f>IMAGE("https://www.google.com/s2/favicons?domain=zapier.com&amp;sz=64")</f>
        <v/>
      </c>
      <c r="B177" s="6" t="inlineStr">
        <is>
          <t>Zapier</t>
        </is>
      </c>
      <c r="C177" s="7" t="inlineStr">
        <is>
          <t>Freemium</t>
        </is>
      </c>
      <c r="D177" s="8" t="inlineStr">
        <is>
          <t>zapier.com</t>
        </is>
      </c>
      <c r="E177" s="7" t="inlineStr">
        <is>
          <t>Connect 8,000+ apps with no-code automation, AI steps and agents</t>
        </is>
      </c>
      <c r="F177" s="7" t="inlineStr">
        <is>
          <t>Free; from $19.99/mo</t>
        </is>
      </c>
      <c r="G177" s="7" t="inlineStr">
        <is>
          <t>Yes — Anthropic/Claude integration + Zapier MCP for Claude</t>
        </is>
      </c>
      <c r="H177" s="7" t="inlineStr">
        <is>
          <t>Biggest connector library; Claude can trigger Zaps via MCP</t>
        </is>
      </c>
      <c r="I177" s="7" t="inlineStr">
        <is>
          <t>Gets expensive at volume; per-task pricing</t>
        </is>
      </c>
      <c r="J177" s="7" t="inlineStr">
        <is>
          <t>Non-technical automators</t>
        </is>
      </c>
      <c r="K177" s="5" t="n">
        <v>10</v>
      </c>
      <c r="L177" s="5" t="n">
        <v>6</v>
      </c>
      <c r="M177" s="5" t="n">
        <v>9</v>
      </c>
      <c r="N177" s="5" t="n">
        <v>8.300000000000001</v>
      </c>
      <c r="O177" s="5" t="n">
        <v>3</v>
      </c>
    </row>
    <row r="178" ht="58" customHeight="1">
      <c r="A178" s="5">
        <f>IMAGE("https://www.google.com/s2/favicons?domain=make.com&amp;sz=64")</f>
        <v/>
      </c>
      <c r="B178" s="6" t="inlineStr">
        <is>
          <t>Make</t>
        </is>
      </c>
      <c r="C178" s="7" t="inlineStr">
        <is>
          <t>Freemium</t>
        </is>
      </c>
      <c r="D178" s="8" t="inlineStr">
        <is>
          <t>make.com</t>
        </is>
      </c>
      <c r="E178" s="7" t="inlineStr">
        <is>
          <t>Visual automation builder with powerful branching and data ops</t>
        </is>
      </c>
      <c r="F178" s="7" t="inlineStr">
        <is>
          <t>Free; from $9/mo</t>
        </is>
      </c>
      <c r="G178" s="7" t="inlineStr">
        <is>
          <t>Yes — Anthropic modules + Make MCP</t>
        </is>
      </c>
      <c r="H178" s="7" t="inlineStr">
        <is>
          <t>More power per dollar than Zapier; visual debugging</t>
        </is>
      </c>
      <c r="I178" s="7" t="inlineStr">
        <is>
          <t>Steeper learning curve</t>
        </is>
      </c>
      <c r="J178" s="7" t="inlineStr">
        <is>
          <t>Ops people who outgrow Zapier</t>
        </is>
      </c>
      <c r="K178" s="5" t="n">
        <v>9</v>
      </c>
      <c r="L178" s="5" t="n">
        <v>8</v>
      </c>
      <c r="M178" s="5" t="n">
        <v>9</v>
      </c>
      <c r="N178" s="5" t="n">
        <v>8.699999999999999</v>
      </c>
      <c r="O178" s="5" t="n">
        <v>2</v>
      </c>
    </row>
    <row r="179" ht="58" customHeight="1">
      <c r="A179" s="5">
        <f>IMAGE("https://www.google.com/s2/favicons?domain=n8n.io&amp;sz=64")</f>
        <v/>
      </c>
      <c r="B179" s="6" t="inlineStr">
        <is>
          <t>n8n</t>
        </is>
      </c>
      <c r="C179" s="7" t="inlineStr">
        <is>
          <t>Freemium</t>
        </is>
      </c>
      <c r="D179" s="8" t="inlineStr">
        <is>
          <t>n8n.io</t>
        </is>
      </c>
      <c r="E179" s="7" t="inlineStr">
        <is>
          <t>Source-available workflow automation with native AI/LangChain nodes — self-host free</t>
        </is>
      </c>
      <c r="F179" s="7" t="inlineStr">
        <is>
          <t>Free self-host; cloud from $24/mo</t>
        </is>
      </c>
      <c r="G179" s="7" t="inlineStr">
        <is>
          <t>Yes — native Anthropic/Claude nodes + MCP support</t>
        </is>
      </c>
      <c r="H179" s="7" t="inlineStr">
        <is>
          <t>Self-host = unlimited runs free; AI-agent nodes; also the top free GitHub alternative here</t>
        </is>
      </c>
      <c r="I179" s="7" t="inlineStr">
        <is>
          <t>Fair-code licence (not pure OSS); technical setup</t>
        </is>
      </c>
      <c r="J179" s="7" t="inlineStr">
        <is>
          <t>Technical teams automating heavily</t>
        </is>
      </c>
      <c r="K179" s="5" t="n">
        <v>9</v>
      </c>
      <c r="L179" s="5" t="n">
        <v>9</v>
      </c>
      <c r="M179" s="5" t="n">
        <v>9</v>
      </c>
      <c r="N179" s="5" t="n">
        <v>9</v>
      </c>
      <c r="O179" s="5" t="n">
        <v>1</v>
      </c>
    </row>
    <row r="180" ht="58" customHeight="1">
      <c r="A180" s="5">
        <f>IMAGE("https://www.google.com/s2/favicons?domain=monday.com&amp;sz=64")</f>
        <v/>
      </c>
      <c r="B180" s="6" t="inlineStr">
        <is>
          <t>Monday.com</t>
        </is>
      </c>
      <c r="C180" s="7" t="inlineStr">
        <is>
          <t>Paid</t>
        </is>
      </c>
      <c r="D180" s="8" t="inlineStr">
        <is>
          <t>monday.com</t>
        </is>
      </c>
      <c r="E180" s="7" t="inlineStr">
        <is>
          <t>Work OS with AI blocks for project/CRM workflows</t>
        </is>
      </c>
      <c r="F180" s="7" t="inlineStr">
        <is>
          <t>From $9/user/mo</t>
        </is>
      </c>
      <c r="G180" s="7" t="inlineStr">
        <is>
          <t>Partial — via Zapier/Make</t>
        </is>
      </c>
      <c r="H180" s="7" t="inlineStr">
        <is>
          <t>Flexible work management; AI sprinkled in</t>
        </is>
      </c>
      <c r="I180" s="7" t="inlineStr">
        <is>
          <t>Automation secondary; seat costs</t>
        </is>
      </c>
      <c r="J180" s="7" t="inlineStr">
        <is>
          <t>Teams wanting PM + light automation</t>
        </is>
      </c>
      <c r="K180" s="5" t="n">
        <v>6</v>
      </c>
      <c r="L180" s="5" t="n">
        <v>6</v>
      </c>
      <c r="M180" s="5" t="n">
        <v>7</v>
      </c>
      <c r="N180" s="5" t="n">
        <v>6.3</v>
      </c>
      <c r="O180" s="5" t="n">
        <v>12</v>
      </c>
    </row>
    <row r="181" ht="58" customHeight="1">
      <c r="A181" s="5">
        <f>IMAGE("https://www.google.com/s2/favicons?domain=wrike.com&amp;sz=64")</f>
        <v/>
      </c>
      <c r="B181" s="6" t="inlineStr">
        <is>
          <t>Wrike</t>
        </is>
      </c>
      <c r="C181" s="7" t="inlineStr">
        <is>
          <t>Freemium</t>
        </is>
      </c>
      <c r="D181" s="8" t="inlineStr">
        <is>
          <t>wrike.com</t>
        </is>
      </c>
      <c r="E181" s="7" t="inlineStr">
        <is>
          <t>Enterprise project management with AI work intelligence</t>
        </is>
      </c>
      <c r="F181" s="7" t="inlineStr">
        <is>
          <t>Free; from $10/user/mo</t>
        </is>
      </c>
      <c r="G181" s="7" t="inlineStr">
        <is>
          <t>No</t>
        </is>
      </c>
      <c r="H181" s="7" t="inlineStr">
        <is>
          <t>Strong enterprise PM features</t>
        </is>
      </c>
      <c r="I181" s="7" t="inlineStr">
        <is>
          <t>Automation not its core</t>
        </is>
      </c>
      <c r="J181" s="7" t="inlineStr">
        <is>
          <t>Enterprise PMOs</t>
        </is>
      </c>
      <c r="K181" s="5" t="n">
        <v>5</v>
      </c>
      <c r="L181" s="5" t="n">
        <v>6</v>
      </c>
      <c r="M181" s="5" t="n">
        <v>6</v>
      </c>
      <c r="N181" s="5" t="n">
        <v>5.7</v>
      </c>
      <c r="O181" s="5" t="n">
        <v>14</v>
      </c>
    </row>
    <row r="182" ht="58" customHeight="1">
      <c r="A182" s="5">
        <f>IMAGE("https://www.google.com/s2/favicons?domain=integrately.com&amp;sz=64")</f>
        <v/>
      </c>
      <c r="B182" s="6" t="inlineStr">
        <is>
          <t>Integrately</t>
        </is>
      </c>
      <c r="C182" s="7" t="inlineStr">
        <is>
          <t>Freemium</t>
        </is>
      </c>
      <c r="D182" s="8" t="inlineStr">
        <is>
          <t>integrately.com</t>
        </is>
      </c>
      <c r="E182" s="7" t="inlineStr">
        <is>
          <t>One-click automation templates (Zapier alternative)</t>
        </is>
      </c>
      <c r="F182" s="7" t="inlineStr">
        <is>
          <t>Free; from $19.99/mo</t>
        </is>
      </c>
      <c r="G182" s="7" t="inlineStr">
        <is>
          <t>Partial — Anthropic app available</t>
        </is>
      </c>
      <c r="H182" s="7" t="inlineStr">
        <is>
          <t>8M+ ready automations; cheap multi-step</t>
        </is>
      </c>
      <c r="I182" s="7" t="inlineStr">
        <is>
          <t>Less flexible than Make</t>
        </is>
      </c>
      <c r="J182" s="7" t="inlineStr">
        <is>
          <t>SMBs wanting instant recipes</t>
        </is>
      </c>
      <c r="K182" s="5" t="n">
        <v>6</v>
      </c>
      <c r="L182" s="5" t="n">
        <v>8</v>
      </c>
      <c r="M182" s="5" t="n">
        <v>6</v>
      </c>
      <c r="N182" s="5" t="n">
        <v>6.7</v>
      </c>
      <c r="O182" s="5" t="n">
        <v>9</v>
      </c>
    </row>
    <row r="183" ht="58" customHeight="1">
      <c r="A183" s="5">
        <f>IMAGE("https://www.google.com/s2/favicons?domain=gumloop.com&amp;sz=64")</f>
        <v/>
      </c>
      <c r="B183" s="6" t="inlineStr">
        <is>
          <t>Gumloop</t>
        </is>
      </c>
      <c r="C183" s="7" t="inlineStr">
        <is>
          <t>Freemium</t>
        </is>
      </c>
      <c r="D183" s="8" t="inlineStr">
        <is>
          <t>gumloop.com</t>
        </is>
      </c>
      <c r="E183" s="7" t="inlineStr">
        <is>
          <t>AI-native workflow builder (scraping, LLM steps, agents)</t>
        </is>
      </c>
      <c r="F183" s="7" t="inlineStr">
        <is>
          <t>Free; from $97/mo</t>
        </is>
      </c>
      <c r="G183" s="7" t="inlineStr">
        <is>
          <t>Yes — Claude nodes built in</t>
        </is>
      </c>
      <c r="H183" s="7" t="inlineStr">
        <is>
          <t>Built AI-first, not retrofitted; powerful for AI pipelines</t>
        </is>
      </c>
      <c r="I183" s="7" t="inlineStr">
        <is>
          <t>Expensive; newer vendor</t>
        </is>
      </c>
      <c r="J183" s="7" t="inlineStr">
        <is>
          <t>AI-heavy growth/ops teams</t>
        </is>
      </c>
      <c r="K183" s="5" t="n">
        <v>7</v>
      </c>
      <c r="L183" s="5" t="n">
        <v>5</v>
      </c>
      <c r="M183" s="5" t="n">
        <v>8</v>
      </c>
      <c r="N183" s="5" t="n">
        <v>6.7</v>
      </c>
      <c r="O183" s="5" t="n">
        <v>10</v>
      </c>
    </row>
    <row r="184" ht="58" customHeight="1">
      <c r="A184" s="5">
        <f>IMAGE("https://www.google.com/s2/favicons?domain=relay.app&amp;sz=64")</f>
        <v/>
      </c>
      <c r="B184" s="6" t="inlineStr">
        <is>
          <t>Relay.app</t>
        </is>
      </c>
      <c r="C184" s="7" t="inlineStr">
        <is>
          <t>Freemium</t>
        </is>
      </c>
      <c r="D184" s="8" t="inlineStr">
        <is>
          <t>relay.app</t>
        </is>
      </c>
      <c r="E184" s="7" t="inlineStr">
        <is>
          <t>Human-in-the-loop AI automation with approvals</t>
        </is>
      </c>
      <c r="F184" s="7" t="inlineStr">
        <is>
          <t>Free; from $9/user/mo</t>
        </is>
      </c>
      <c r="G184" s="7" t="inlineStr">
        <is>
          <t>Yes — Claude steps supported</t>
        </is>
      </c>
      <c r="H184" s="7" t="inlineStr">
        <is>
          <t>Elegant approvals model; generous free tier</t>
        </is>
      </c>
      <c r="I184" s="7" t="inlineStr">
        <is>
          <t>Fewer integrations than Zapier</t>
        </is>
      </c>
      <c r="J184" s="7" t="inlineStr">
        <is>
          <t>Teams wanting AI + human checkpoints</t>
        </is>
      </c>
      <c r="K184" s="5" t="n">
        <v>7</v>
      </c>
      <c r="L184" s="5" t="n">
        <v>8</v>
      </c>
      <c r="M184" s="5" t="n">
        <v>7</v>
      </c>
      <c r="N184" s="5" t="n">
        <v>7.3</v>
      </c>
      <c r="O184" s="5" t="n">
        <v>6</v>
      </c>
    </row>
    <row r="185" ht="58" customHeight="1">
      <c r="A185" s="5">
        <f>IMAGE("https://www.google.com/s2/favicons?domain=camunda.com&amp;sz=64")</f>
        <v/>
      </c>
      <c r="B185" s="6" t="inlineStr">
        <is>
          <t>Camunda</t>
        </is>
      </c>
      <c r="C185" s="7" t="inlineStr">
        <is>
          <t>Freemium</t>
        </is>
      </c>
      <c r="D185" s="8" t="inlineStr">
        <is>
          <t>camunda.com</t>
        </is>
      </c>
      <c r="E185" s="7" t="inlineStr">
        <is>
          <t>Enterprise process orchestration (BPMN) with AI task agents and connectors</t>
        </is>
      </c>
      <c r="F185" s="7" t="inlineStr">
        <is>
          <t>SaaS from ~$99/mo; enterprise custom; Camunda 7 CE is open source</t>
        </is>
      </c>
      <c r="G185" s="7" t="inlineStr">
        <is>
          <t>Partial — Anthropic connector for AI tasks</t>
        </is>
      </c>
      <c r="H185" s="7" t="inlineStr">
        <is>
          <t>Standards-based (BPMN/DMN); serious orchestration at scale</t>
        </is>
      </c>
      <c r="I185" s="7" t="inlineStr">
        <is>
          <t>Developer-oriented; enterprise pricing beyond starter tier</t>
        </is>
      </c>
      <c r="J185" s="7" t="inlineStr">
        <is>
          <t>Enterprises orchestrating complex processes</t>
        </is>
      </c>
      <c r="K185" s="5" t="n">
        <v>7</v>
      </c>
      <c r="L185" s="5" t="n">
        <v>6</v>
      </c>
      <c r="M185" s="5" t="n">
        <v>8</v>
      </c>
      <c r="N185" s="5" t="n">
        <v>7</v>
      </c>
      <c r="O185" s="5" t="n">
        <v>7</v>
      </c>
    </row>
    <row r="186" ht="58" customHeight="1">
      <c r="A186" s="5">
        <f>IMAGE("https://www.google.com/s2/favicons?domain=lindy.ai&amp;sz=64")</f>
        <v/>
      </c>
      <c r="B186" s="6" t="inlineStr">
        <is>
          <t>Lindy</t>
        </is>
      </c>
      <c r="C186" s="7" t="inlineStr">
        <is>
          <t>Freemium</t>
        </is>
      </c>
      <c r="D186" s="8" t="inlineStr">
        <is>
          <t>lindy.ai</t>
        </is>
      </c>
      <c r="E186" s="7" t="inlineStr">
        <is>
          <t>No-code AI agent builder ('Lindies') for email, sales outreach, scheduling and ops</t>
        </is>
      </c>
      <c r="F186" s="7" t="inlineStr">
        <is>
          <t>Free tier; from $49.99/mo</t>
        </is>
      </c>
      <c r="G186" s="7" t="inlineStr">
        <is>
          <t>Yes — built on Anthropic/Claude models</t>
        </is>
      </c>
      <c r="H186" s="7" t="inlineStr">
        <is>
          <t>Fast agent building; big template library</t>
        </is>
      </c>
      <c r="I186" s="7" t="inlineStr">
        <is>
          <t>Credits run out fast on heavy workflows</t>
        </is>
      </c>
      <c r="J186" s="7" t="inlineStr">
        <is>
          <t>Solopreneurs and ops teams automating with agents</t>
        </is>
      </c>
      <c r="K186" s="5" t="n">
        <v>7</v>
      </c>
      <c r="L186" s="5" t="n">
        <v>7</v>
      </c>
      <c r="M186" s="5" t="n">
        <v>7</v>
      </c>
      <c r="N186" s="5" t="n">
        <v>7</v>
      </c>
      <c r="O186" s="5" t="n">
        <v>8</v>
      </c>
    </row>
    <row r="187" ht="58" customHeight="1">
      <c r="A187" s="9">
        <f>IMAGE("https://www.google.com/s2/favicons?domain=github.com&amp;sz=64")</f>
        <v/>
      </c>
      <c r="B187" s="10" t="inlineStr">
        <is>
          <t>Activepieces</t>
        </is>
      </c>
      <c r="C187" s="11" t="inlineStr">
        <is>
          <t>Open source (GitHub)</t>
        </is>
      </c>
      <c r="D187" s="12" t="inlineStr">
        <is>
          <t>github.com/activepieces/activepieces</t>
        </is>
      </c>
      <c r="E187" s="11" t="inlineStr">
        <is>
          <t>Open-source (MIT) Zapier alternative with AI pieces and MCP</t>
        </is>
      </c>
      <c r="F187" s="11" t="inlineStr">
        <is>
          <t>Free self-host; cloud free tier</t>
        </is>
      </c>
      <c r="G187" s="11" t="inlineStr">
        <is>
          <t>Yes — Claude pieces + MCP server support</t>
        </is>
      </c>
      <c r="H187" s="11" t="inlineStr">
        <is>
          <t>True MIT OSS; growing connector library</t>
        </is>
      </c>
      <c r="I187" s="11" t="inlineStr">
        <is>
          <t>Fewer connectors than Zapier</t>
        </is>
      </c>
      <c r="J187" s="11" t="inlineStr">
        <is>
          <t>Self-hosters replacing Zapier</t>
        </is>
      </c>
      <c r="K187" s="9" t="n">
        <v>8</v>
      </c>
      <c r="L187" s="9" t="n">
        <v>10</v>
      </c>
      <c r="M187" s="9" t="n">
        <v>7</v>
      </c>
      <c r="N187" s="9" t="n">
        <v>8.300000000000001</v>
      </c>
      <c r="O187" s="9" t="n">
        <v>4</v>
      </c>
    </row>
    <row r="188" ht="58" customHeight="1">
      <c r="A188" s="9">
        <f>IMAGE("https://www.google.com/s2/favicons?domain=github.com&amp;sz=64")</f>
        <v/>
      </c>
      <c r="B188" s="10" t="inlineStr">
        <is>
          <t>Windmill</t>
        </is>
      </c>
      <c r="C188" s="11" t="inlineStr">
        <is>
          <t>Open source (GitHub)</t>
        </is>
      </c>
      <c r="D188" s="12" t="inlineStr">
        <is>
          <t>github.com/windmill-labs/windmill</t>
        </is>
      </c>
      <c r="E188" s="11" t="inlineStr">
        <is>
          <t>Open-source developer platform for scripts→workflows→UIs</t>
        </is>
      </c>
      <c r="F188" s="11" t="inlineStr">
        <is>
          <t>Free self-host; cloud tiers</t>
        </is>
      </c>
      <c r="G188" s="11" t="inlineStr">
        <is>
          <t>Yes — AI steps with Anthropic; Claude writes its scripts</t>
        </is>
      </c>
      <c r="H188" s="11" t="inlineStr">
        <is>
          <t>Code-first power; great for engineers</t>
        </is>
      </c>
      <c r="I188" s="11" t="inlineStr">
        <is>
          <t>Not for non-coders</t>
        </is>
      </c>
      <c r="J188" s="11" t="inlineStr">
        <is>
          <t>Engineering teams automating internally</t>
        </is>
      </c>
      <c r="K188" s="9" t="n">
        <v>7</v>
      </c>
      <c r="L188" s="9" t="n">
        <v>10</v>
      </c>
      <c r="M188" s="9" t="n">
        <v>8</v>
      </c>
      <c r="N188" s="9" t="n">
        <v>8.300000000000001</v>
      </c>
      <c r="O188" s="9" t="n">
        <v>5</v>
      </c>
    </row>
    <row r="189" ht="58" customHeight="1">
      <c r="A189" s="9">
        <f>IMAGE("https://www.google.com/s2/favicons?domain=github.com&amp;sz=64")</f>
        <v/>
      </c>
      <c r="B189" s="10" t="inlineStr">
        <is>
          <t>Automatisch</t>
        </is>
      </c>
      <c r="C189" s="11" t="inlineStr">
        <is>
          <t>Open source (GitHub)</t>
        </is>
      </c>
      <c r="D189" s="12" t="inlineStr">
        <is>
          <t>github.com/automatisch/automatisch</t>
        </is>
      </c>
      <c r="E189" s="11" t="inlineStr">
        <is>
          <t>Open-source Zapier alternative focused on simplicity</t>
        </is>
      </c>
      <c r="F189" s="11" t="inlineStr">
        <is>
          <t>Free self-host</t>
        </is>
      </c>
      <c r="G189" s="11" t="inlineStr">
        <is>
          <t>Partial — community connectors</t>
        </is>
      </c>
      <c r="H189" s="11" t="inlineStr">
        <is>
          <t>Simple OSS automation</t>
        </is>
      </c>
      <c r="I189" s="11" t="inlineStr">
        <is>
          <t>Small connector set</t>
        </is>
      </c>
      <c r="J189" s="11" t="inlineStr">
        <is>
          <t>Basic self-hosted automations</t>
        </is>
      </c>
      <c r="K189" s="9" t="n">
        <v>5</v>
      </c>
      <c r="L189" s="9" t="n">
        <v>10</v>
      </c>
      <c r="M189" s="9" t="n">
        <v>5</v>
      </c>
      <c r="N189" s="9" t="n">
        <v>6.7</v>
      </c>
      <c r="O189" s="9" t="n">
        <v>11</v>
      </c>
    </row>
    <row r="190" ht="58" customHeight="1">
      <c r="A190" s="9">
        <f>IMAGE("https://www.google.com/s2/favicons?domain=github.com&amp;sz=64")</f>
        <v/>
      </c>
      <c r="B190" s="10" t="inlineStr">
        <is>
          <t>Huginn</t>
        </is>
      </c>
      <c r="C190" s="11" t="inlineStr">
        <is>
          <t>Open source (GitHub)</t>
        </is>
      </c>
      <c r="D190" s="12" t="inlineStr">
        <is>
          <t>github.com/huginn/huginn</t>
        </is>
      </c>
      <c r="E190" s="11" t="inlineStr">
        <is>
          <t>Veteran open-source agents that monitor and act on your behalf</t>
        </is>
      </c>
      <c r="F190" s="11" t="inlineStr">
        <is>
          <t>Free self-host</t>
        </is>
      </c>
      <c r="G190" s="11" t="inlineStr">
        <is>
          <t>No — pre-LLM design (can call APIs)</t>
        </is>
      </c>
      <c r="H190" s="11" t="inlineStr">
        <is>
          <t>Battle-tested; runs anywhere</t>
        </is>
      </c>
      <c r="I190" s="11" t="inlineStr">
        <is>
          <t>Dated UX; Ruby stack</t>
        </is>
      </c>
      <c r="J190" s="11" t="inlineStr">
        <is>
          <t>Hackers automating feeds/alerts</t>
        </is>
      </c>
      <c r="K190" s="9" t="n">
        <v>4</v>
      </c>
      <c r="L190" s="9" t="n">
        <v>10</v>
      </c>
      <c r="M190" s="9" t="n">
        <v>5</v>
      </c>
      <c r="N190" s="9" t="n">
        <v>6.3</v>
      </c>
      <c r="O190" s="9" t="n">
        <v>13</v>
      </c>
    </row>
    <row r="191" ht="22" customHeight="1">
      <c r="A191" s="4" t="inlineStr">
        <is>
          <t>AI Sales &amp; CRM</t>
        </is>
      </c>
    </row>
    <row r="192" ht="58" customHeight="1">
      <c r="A192" s="5">
        <f>IMAGE("https://www.google.com/s2/favicons?domain=hubspot.com&amp;sz=64")</f>
        <v/>
      </c>
      <c r="B192" s="6" t="inlineStr">
        <is>
          <t>HubSpot</t>
        </is>
      </c>
      <c r="C192" s="7" t="inlineStr">
        <is>
          <t>Freemium</t>
        </is>
      </c>
      <c r="D192" s="8" t="inlineStr">
        <is>
          <t>hubspot.com</t>
        </is>
      </c>
      <c r="E192" s="7" t="inlineStr">
        <is>
          <t>CRM platform with Breeze AI agents across marketing/sales/service</t>
        </is>
      </c>
      <c r="F192" s="7" t="inlineStr">
        <is>
          <t>Free CRM; paid hubs from $20/user/mo</t>
        </is>
      </c>
      <c r="G192" s="7" t="inlineStr">
        <is>
          <t>Yes — official HubSpot MCP server works with Claude</t>
        </is>
      </c>
      <c r="H192" s="7" t="inlineStr">
        <is>
          <t>Free CRM entry; AI across whole funnel; MCP</t>
        </is>
      </c>
      <c r="I192" s="7" t="inlineStr">
        <is>
          <t>Costs climb steeply with hubs/contacts</t>
        </is>
      </c>
      <c r="J192" s="7" t="inlineStr">
        <is>
          <t>SMBs growing into a full CRM</t>
        </is>
      </c>
      <c r="K192" s="5" t="n">
        <v>9</v>
      </c>
      <c r="L192" s="5" t="n">
        <v>6</v>
      </c>
      <c r="M192" s="5" t="n">
        <v>9</v>
      </c>
      <c r="N192" s="5" t="n">
        <v>8</v>
      </c>
      <c r="O192" s="5" t="n">
        <v>1</v>
      </c>
    </row>
    <row r="193" ht="58" customHeight="1">
      <c r="A193" s="5">
        <f>IMAGE("https://www.google.com/s2/favicons?domain=salesforce.com&amp;sz=64")</f>
        <v/>
      </c>
      <c r="B193" s="6" t="inlineStr">
        <is>
          <t>Salesforce (Agentforce)</t>
        </is>
      </c>
      <c r="C193" s="7" t="inlineStr">
        <is>
          <t>Paid</t>
        </is>
      </c>
      <c r="D193" s="8" t="inlineStr">
        <is>
          <t>salesforce.com</t>
        </is>
      </c>
      <c r="E193" s="7" t="inlineStr">
        <is>
          <t>Enterprise CRM leader with Agentforce AI agents and Einstein AI</t>
        </is>
      </c>
      <c r="F193" s="7" t="inlineStr">
        <is>
          <t>From $25/user/mo; Agentforce usage-priced extra</t>
        </is>
      </c>
      <c r="G193" s="7" t="inlineStr">
        <is>
          <t>Yes — Claude available in Agentforce via the Anthropic partnership</t>
        </is>
      </c>
      <c r="H193" s="7" t="inlineStr">
        <is>
          <t>Enterprise standard; AI agents on your own CRM data</t>
        </is>
      </c>
      <c r="I193" s="7" t="inlineStr">
        <is>
          <t>Cost and complexity stack quickly</t>
        </is>
      </c>
      <c r="J193" s="7" t="inlineStr">
        <is>
          <t>Mid-size to enterprise sales orgs</t>
        </is>
      </c>
      <c r="K193" s="5" t="n">
        <v>9</v>
      </c>
      <c r="L193" s="5" t="n">
        <v>4</v>
      </c>
      <c r="M193" s="5" t="n">
        <v>9</v>
      </c>
      <c r="N193" s="5" t="n">
        <v>7.3</v>
      </c>
      <c r="O193" s="5" t="n">
        <v>3</v>
      </c>
    </row>
    <row r="194" ht="58" customHeight="1">
      <c r="A194" s="5">
        <f>IMAGE("https://www.google.com/s2/favicons?domain=apollo.io&amp;sz=64")</f>
        <v/>
      </c>
      <c r="B194" s="6" t="inlineStr">
        <is>
          <t>Apollo.io</t>
        </is>
      </c>
      <c r="C194" s="7" t="inlineStr">
        <is>
          <t>Freemium</t>
        </is>
      </c>
      <c r="D194" s="8" t="inlineStr">
        <is>
          <t>apollo.io</t>
        </is>
      </c>
      <c r="E194" s="7" t="inlineStr">
        <is>
          <t>B2B contact database + sequencing + AI sales engagement</t>
        </is>
      </c>
      <c r="F194" s="7" t="inlineStr">
        <is>
          <t>Free; from $49/user/mo</t>
        </is>
      </c>
      <c r="G194" s="7" t="inlineStr">
        <is>
          <t>Partial — API/Zapier; community MCP</t>
        </is>
      </c>
      <c r="H194" s="7" t="inlineStr">
        <is>
          <t>275M-contact database with outreach in one</t>
        </is>
      </c>
      <c r="I194" s="7" t="inlineStr">
        <is>
          <t>Data accuracy varies; email deliverability care</t>
        </is>
      </c>
      <c r="J194" s="7" t="inlineStr">
        <is>
          <t>Outbound SDR teams</t>
        </is>
      </c>
      <c r="K194" s="5" t="n">
        <v>7</v>
      </c>
      <c r="L194" s="5" t="n">
        <v>7</v>
      </c>
      <c r="M194" s="5" t="n">
        <v>8</v>
      </c>
      <c r="N194" s="5" t="n">
        <v>7.3</v>
      </c>
      <c r="O194" s="5" t="n">
        <v>4</v>
      </c>
    </row>
    <row r="195" ht="58" customHeight="1">
      <c r="A195" s="5">
        <f>IMAGE("https://www.google.com/s2/favicons?domain=clay.com&amp;sz=64")</f>
        <v/>
      </c>
      <c r="B195" s="6" t="inlineStr">
        <is>
          <t>Clay</t>
        </is>
      </c>
      <c r="C195" s="7" t="inlineStr">
        <is>
          <t>Paid</t>
        </is>
      </c>
      <c r="D195" s="8" t="inlineStr">
        <is>
          <t>clay.com</t>
        </is>
      </c>
      <c r="E195" s="7" t="inlineStr">
        <is>
          <t>Data enrichment + AI research agent (Claygent) for hyper-personalised outbound</t>
        </is>
      </c>
      <c r="F195" s="7" t="inlineStr">
        <is>
          <t>From $134/mo</t>
        </is>
      </c>
      <c r="G195" s="7" t="inlineStr">
        <is>
          <t>Yes — Claude usable as enrichment model</t>
        </is>
      </c>
      <c r="H195" s="7" t="inlineStr">
        <is>
          <t>Combines 100+ data sources; AI personalisation at scale</t>
        </is>
      </c>
      <c r="I195" s="7" t="inlineStr">
        <is>
          <t>Steep learning curve and price</t>
        </is>
      </c>
      <c r="J195" s="7" t="inlineStr">
        <is>
          <t>Growth teams doing serious outbound</t>
        </is>
      </c>
      <c r="K195" s="5" t="n">
        <v>8</v>
      </c>
      <c r="L195" s="5" t="n">
        <v>5</v>
      </c>
      <c r="M195" s="5" t="n">
        <v>9</v>
      </c>
      <c r="N195" s="5" t="n">
        <v>7.3</v>
      </c>
      <c r="O195" s="5" t="n">
        <v>5</v>
      </c>
    </row>
    <row r="196" ht="58" customHeight="1">
      <c r="A196" s="5">
        <f>IMAGE("https://www.google.com/s2/favicons?domain=pipedrive.com&amp;sz=64")</f>
        <v/>
      </c>
      <c r="B196" s="6" t="inlineStr">
        <is>
          <t>Pipedrive</t>
        </is>
      </c>
      <c r="C196" s="7" t="inlineStr">
        <is>
          <t>Paid</t>
        </is>
      </c>
      <c r="D196" s="8" t="inlineStr">
        <is>
          <t>pipedrive.com</t>
        </is>
      </c>
      <c r="E196" s="7" t="inlineStr">
        <is>
          <t>Easy SMB sales CRM with AI sales assistant and automations</t>
        </is>
      </c>
      <c r="F196" s="7" t="inlineStr">
        <is>
          <t>From $14/user/mo</t>
        </is>
      </c>
      <c r="G196" s="7" t="inlineStr">
        <is>
          <t>No</t>
        </is>
      </c>
      <c r="H196" s="7" t="inlineStr">
        <is>
          <t>Fast to adopt; great pipeline view; fair price</t>
        </is>
      </c>
      <c r="I196" s="7" t="inlineStr">
        <is>
          <t>Light for complex enterprise needs</t>
        </is>
      </c>
      <c r="J196" s="7" t="inlineStr">
        <is>
          <t>SMB sales teams</t>
        </is>
      </c>
      <c r="K196" s="5" t="n">
        <v>6</v>
      </c>
      <c r="L196" s="5" t="n">
        <v>7</v>
      </c>
      <c r="M196" s="5" t="n">
        <v>7</v>
      </c>
      <c r="N196" s="5" t="n">
        <v>6.7</v>
      </c>
      <c r="O196" s="5" t="n">
        <v>7</v>
      </c>
    </row>
    <row r="197" ht="58" customHeight="1">
      <c r="A197" s="5">
        <f>IMAGE("https://www.google.com/s2/favicons?domain=gong.io&amp;sz=64")</f>
        <v/>
      </c>
      <c r="B197" s="6" t="inlineStr">
        <is>
          <t>Gong</t>
        </is>
      </c>
      <c r="C197" s="7" t="inlineStr">
        <is>
          <t>Paid</t>
        </is>
      </c>
      <c r="D197" s="8" t="inlineStr">
        <is>
          <t>gong.io</t>
        </is>
      </c>
      <c r="E197" s="7" t="inlineStr">
        <is>
          <t>Revenue intelligence: call recording, deal insights, forecasting</t>
        </is>
      </c>
      <c r="F197" s="7" t="inlineStr">
        <is>
          <t>~$1,400/user/yr + platform fee</t>
        </is>
      </c>
      <c r="G197" s="7" t="inlineStr">
        <is>
          <t>Partial — API; Anthropic models used internally</t>
        </is>
      </c>
      <c r="H197" s="7" t="inlineStr">
        <is>
          <t>Category leader; coaching gold</t>
        </is>
      </c>
      <c r="I197" s="7" t="inlineStr">
        <is>
          <t>Enterprise pricing; adoption effort</t>
        </is>
      </c>
      <c r="J197" s="7" t="inlineStr">
        <is>
          <t>Sales orgs 20+ reps</t>
        </is>
      </c>
      <c r="K197" s="5" t="n">
        <v>7</v>
      </c>
      <c r="L197" s="5" t="n">
        <v>3</v>
      </c>
      <c r="M197" s="5" t="n">
        <v>9</v>
      </c>
      <c r="N197" s="5" t="n">
        <v>6.3</v>
      </c>
      <c r="O197" s="5" t="n">
        <v>9</v>
      </c>
    </row>
    <row r="198" ht="58" customHeight="1">
      <c r="A198" s="5">
        <f>IMAGE("https://www.google.com/s2/favicons?domain=clari.com&amp;sz=64")</f>
        <v/>
      </c>
      <c r="B198" s="6" t="inlineStr">
        <is>
          <t>Clari</t>
        </is>
      </c>
      <c r="C198" s="7" t="inlineStr">
        <is>
          <t>Paid</t>
        </is>
      </c>
      <c r="D198" s="8" t="inlineStr">
        <is>
          <t>clari.com</t>
        </is>
      </c>
      <c r="E198" s="7" t="inlineStr">
        <is>
          <t>Revenue platform: AI forecasting, deal inspection, pipeline health</t>
        </is>
      </c>
      <c r="F198" s="7" t="inlineStr">
        <is>
          <t>Enterprise custom pricing</t>
        </is>
      </c>
      <c r="G198" s="7" t="inlineStr">
        <is>
          <t>No</t>
        </is>
      </c>
      <c r="H198" s="7" t="inlineStr">
        <is>
          <t>Best-in-class forecasting accuracy</t>
        </is>
      </c>
      <c r="I198" s="7" t="inlineStr">
        <is>
          <t>Enterprise price; needs clean CRM data</t>
        </is>
      </c>
      <c r="J198" s="7" t="inlineStr">
        <is>
          <t>Revenue leaders at 50+ rep orgs</t>
        </is>
      </c>
      <c r="K198" s="5" t="n">
        <v>6</v>
      </c>
      <c r="L198" s="5" t="n">
        <v>3</v>
      </c>
      <c r="M198" s="5" t="n">
        <v>8</v>
      </c>
      <c r="N198" s="5" t="n">
        <v>5.7</v>
      </c>
      <c r="O198" s="5" t="n">
        <v>12</v>
      </c>
    </row>
    <row r="199" ht="58" customHeight="1">
      <c r="A199" s="5">
        <f>IMAGE("https://www.google.com/s2/favicons?domain=attention.com&amp;sz=64")</f>
        <v/>
      </c>
      <c r="B199" s="6" t="inlineStr">
        <is>
          <t>Attention</t>
        </is>
      </c>
      <c r="C199" s="7" t="inlineStr">
        <is>
          <t>Paid</t>
        </is>
      </c>
      <c r="D199" s="8" t="inlineStr">
        <is>
          <t>attention.com</t>
        </is>
      </c>
      <c r="E199" s="7" t="inlineStr">
        <is>
          <t>AI sales assistant: call recording, auto CRM fill, coaching, follow-up emails</t>
        </is>
      </c>
      <c r="F199" s="7" t="inlineStr">
        <is>
          <t>From ~$50/user/mo (custom)</t>
        </is>
      </c>
      <c r="G199" s="7" t="inlineStr">
        <is>
          <t>No</t>
        </is>
      </c>
      <c r="H199" s="7" t="inlineStr">
        <is>
          <t>Strong CRM-hygiene automation; fast follow-ups</t>
        </is>
      </c>
      <c r="I199" s="7" t="inlineStr">
        <is>
          <t>Younger than Gong; custom pricing</t>
        </is>
      </c>
      <c r="J199" s="7" t="inlineStr">
        <is>
          <t>Mid-market sales teams</t>
        </is>
      </c>
      <c r="K199" s="5" t="n">
        <v>5</v>
      </c>
      <c r="L199" s="5" t="n">
        <v>5</v>
      </c>
      <c r="M199" s="5" t="n">
        <v>7</v>
      </c>
      <c r="N199" s="5" t="n">
        <v>5.7</v>
      </c>
      <c r="O199" s="5" t="n">
        <v>13</v>
      </c>
    </row>
    <row r="200" ht="58" customHeight="1">
      <c r="A200" s="5">
        <f>IMAGE("https://www.google.com/s2/favicons?domain=lavender.ai&amp;sz=64")</f>
        <v/>
      </c>
      <c r="B200" s="6" t="inlineStr">
        <is>
          <t>Lavender</t>
        </is>
      </c>
      <c r="C200" s="7" t="inlineStr">
        <is>
          <t>Freemium</t>
        </is>
      </c>
      <c r="D200" s="8" t="inlineStr">
        <is>
          <t>lavender.ai</t>
        </is>
      </c>
      <c r="E200" s="7" t="inlineStr">
        <is>
          <t>AI email coach that scores and improves sales emails</t>
        </is>
      </c>
      <c r="F200" s="7" t="inlineStr">
        <is>
          <t>Free; from $27/mo</t>
        </is>
      </c>
      <c r="G200" s="7" t="inlineStr">
        <is>
          <t>No</t>
        </is>
      </c>
      <c r="H200" s="7" t="inlineStr">
        <is>
          <t>Real-time coaching improves reply rates</t>
        </is>
      </c>
      <c r="I200" s="7" t="inlineStr">
        <is>
          <t>Email-only scope</t>
        </is>
      </c>
      <c r="J200" s="7" t="inlineStr">
        <is>
          <t>SDRs writing cold email</t>
        </is>
      </c>
      <c r="K200" s="5" t="n">
        <v>4</v>
      </c>
      <c r="L200" s="5" t="n">
        <v>6</v>
      </c>
      <c r="M200" s="5" t="n">
        <v>6</v>
      </c>
      <c r="N200" s="5" t="n">
        <v>5.3</v>
      </c>
      <c r="O200" s="5" t="n">
        <v>16</v>
      </c>
    </row>
    <row r="201" ht="58" customHeight="1">
      <c r="A201" s="5">
        <f>IMAGE("https://www.google.com/s2/favicons?domain=outreach.io&amp;sz=64")</f>
        <v/>
      </c>
      <c r="B201" s="6" t="inlineStr">
        <is>
          <t>Outreach</t>
        </is>
      </c>
      <c r="C201" s="7" t="inlineStr">
        <is>
          <t>Paid</t>
        </is>
      </c>
      <c r="D201" s="8" t="inlineStr">
        <is>
          <t>outreach.io</t>
        </is>
      </c>
      <c r="E201" s="7" t="inlineStr">
        <is>
          <t>Enterprise sales engagement and execution platform</t>
        </is>
      </c>
      <c r="F201" s="7" t="inlineStr">
        <is>
          <t>~$100+/user/mo</t>
        </is>
      </c>
      <c r="G201" s="7" t="inlineStr">
        <is>
          <t>No</t>
        </is>
      </c>
      <c r="H201" s="7" t="inlineStr">
        <is>
          <t>Deep workflows, forecasting; enterprise-grade</t>
        </is>
      </c>
      <c r="I201" s="7" t="inlineStr">
        <is>
          <t>Cost &amp; complexity</t>
        </is>
      </c>
      <c r="J201" s="7" t="inlineStr">
        <is>
          <t>Enterprise sales orgs</t>
        </is>
      </c>
      <c r="K201" s="5" t="n">
        <v>6</v>
      </c>
      <c r="L201" s="5" t="n">
        <v>4</v>
      </c>
      <c r="M201" s="5" t="n">
        <v>8</v>
      </c>
      <c r="N201" s="5" t="n">
        <v>6</v>
      </c>
      <c r="O201" s="5" t="n">
        <v>11</v>
      </c>
    </row>
    <row r="202" ht="58" customHeight="1">
      <c r="A202" s="5">
        <f>IMAGE("https://www.google.com/s2/favicons?domain=sybill.ai&amp;sz=64")</f>
        <v/>
      </c>
      <c r="B202" s="6" t="inlineStr">
        <is>
          <t>Sybill</t>
        </is>
      </c>
      <c r="C202" s="7" t="inlineStr">
        <is>
          <t>Paid</t>
        </is>
      </c>
      <c r="D202" s="8" t="inlineStr">
        <is>
          <t>sybill.ai</t>
        </is>
      </c>
      <c r="E202" s="7" t="inlineStr">
        <is>
          <t>AI deal copilot: call summaries, CRM autofill, behaviour signals</t>
        </is>
      </c>
      <c r="F202" s="7" t="inlineStr">
        <is>
          <t>From $49/user/mo</t>
        </is>
      </c>
      <c r="G202" s="7" t="inlineStr">
        <is>
          <t>No</t>
        </is>
      </c>
      <c r="H202" s="7" t="inlineStr">
        <is>
          <t>Automatic CRM hygiene; emotion/engagement signals</t>
        </is>
      </c>
      <c r="I202" s="7" t="inlineStr">
        <is>
          <t>Per-seat cost; niche</t>
        </is>
      </c>
      <c r="J202" s="7" t="inlineStr">
        <is>
          <t>AEs hating CRM data entry</t>
        </is>
      </c>
      <c r="K202" s="5" t="n">
        <v>5</v>
      </c>
      <c r="L202" s="5" t="n">
        <v>5</v>
      </c>
      <c r="M202" s="5" t="n">
        <v>7</v>
      </c>
      <c r="N202" s="5" t="n">
        <v>5.7</v>
      </c>
      <c r="O202" s="5" t="n">
        <v>14</v>
      </c>
    </row>
    <row r="203" ht="58" customHeight="1">
      <c r="A203" s="5">
        <f>IMAGE("https://www.google.com/s2/favicons?domain=askdonna.com&amp;sz=64")</f>
        <v/>
      </c>
      <c r="B203" s="6" t="inlineStr">
        <is>
          <t>Donna</t>
        </is>
      </c>
      <c r="C203" s="7" t="inlineStr">
        <is>
          <t>Paid</t>
        </is>
      </c>
      <c r="D203" s="8" t="inlineStr">
        <is>
          <t>askdonna.com</t>
        </is>
      </c>
      <c r="E203" s="7" t="inlineStr">
        <is>
          <t>Proactive AI assistant for field sales: voice-to-CRM, visit prep, follow-ups (Salesforce/SAP)</t>
        </is>
      </c>
      <c r="F203" s="7" t="inlineStr">
        <is>
          <t>Custom per-seat (quote)</t>
        </is>
      </c>
      <c r="G203" s="7" t="inlineStr">
        <is>
          <t>No</t>
        </is>
      </c>
      <c r="H203" s="7" t="inlineStr">
        <is>
          <t>Built for reps on the road; CRM updates without typing</t>
        </is>
      </c>
      <c r="I203" s="7" t="inlineStr">
        <is>
          <t>Young vendor; quote-only pricing</t>
        </is>
      </c>
      <c r="J203" s="7" t="inlineStr">
        <is>
          <t>Field sales and manufacturing reps</t>
        </is>
      </c>
      <c r="K203" s="5" t="n">
        <v>5</v>
      </c>
      <c r="L203" s="5" t="n">
        <v>5</v>
      </c>
      <c r="M203" s="5" t="n">
        <v>7</v>
      </c>
      <c r="N203" s="5" t="n">
        <v>5.7</v>
      </c>
      <c r="O203" s="5" t="n">
        <v>15</v>
      </c>
    </row>
    <row r="204" ht="58" customHeight="1">
      <c r="A204" s="5">
        <f>IMAGE("https://www.google.com/s2/favicons?domain=blueticks.co&amp;sz=64")</f>
        <v/>
      </c>
      <c r="B204" s="6" t="inlineStr">
        <is>
          <t>Blueticks</t>
        </is>
      </c>
      <c r="C204" s="7" t="inlineStr">
        <is>
          <t>Freemium</t>
        </is>
      </c>
      <c r="D204" s="8" t="inlineStr">
        <is>
          <t>blueticks.co</t>
        </is>
      </c>
      <c r="E204" s="7" t="inlineStr">
        <is>
          <t>WhatsApp scheduler, bulk marketing campaigns, AI support agent and CRM/task management (Chrome extension)</t>
        </is>
      </c>
      <c r="F204" s="7" t="inlineStr">
        <is>
          <t>Free (1 msg at a time); paid from ~$15/mo</t>
        </is>
      </c>
      <c r="G204" s="7" t="inlineStr">
        <is>
          <t>Yes — official Blueticks MCP server lets Claude read, send and schedule WhatsApp messages</t>
        </is>
      </c>
      <c r="H204" s="7" t="inlineStr">
        <is>
          <t>Botless WhatsApp automation from your own number; MCP lets Claude operate WhatsApp; privacy-first (data stays on device)</t>
        </is>
      </c>
      <c r="I204" s="7" t="inlineStr">
        <is>
          <t>Unofficial WhatsApp automation risks account limits; Chrome-extension-bound; not affiliated with Meta</t>
        </is>
      </c>
      <c r="J204" s="7" t="inlineStr">
        <is>
          <t>SMBs and sellers running sales &amp; support over WhatsApp</t>
        </is>
      </c>
      <c r="K204" s="5" t="n">
        <v>7</v>
      </c>
      <c r="L204" s="5" t="n">
        <v>7</v>
      </c>
      <c r="M204" s="5" t="n">
        <v>7</v>
      </c>
      <c r="N204" s="5" t="n">
        <v>7</v>
      </c>
      <c r="O204" s="5" t="n">
        <v>6</v>
      </c>
    </row>
    <row r="205" ht="58" customHeight="1">
      <c r="A205" s="9">
        <f>IMAGE("https://www.google.com/s2/favicons?domain=github.com&amp;sz=64")</f>
        <v/>
      </c>
      <c r="B205" s="10" t="inlineStr">
        <is>
          <t>Twenty</t>
        </is>
      </c>
      <c r="C205" s="11" t="inlineStr">
        <is>
          <t>Open source (GitHub)</t>
        </is>
      </c>
      <c r="D205" s="12" t="inlineStr">
        <is>
          <t>github.com/twentyhq/twenty</t>
        </is>
      </c>
      <c r="E205" s="11" t="inlineStr">
        <is>
          <t>Modern open-source CRM (the OSS Salesforce alternative)</t>
        </is>
      </c>
      <c r="F205" s="11" t="inlineStr">
        <is>
          <t>Free self-host; cloud from $9/user/mo</t>
        </is>
      </c>
      <c r="G205" s="11" t="inlineStr">
        <is>
          <t>Partial — API/webhooks; community MCP</t>
        </is>
      </c>
      <c r="H205" s="11" t="inlineStr">
        <is>
          <t>Beautiful modern OSS CRM; data ownership</t>
        </is>
      </c>
      <c r="I205" s="11" t="inlineStr">
        <is>
          <t>Younger ecosystem; fewer native integrations</t>
        </is>
      </c>
      <c r="J205" s="11" t="inlineStr">
        <is>
          <t>Startups wanting an ownable CRM</t>
        </is>
      </c>
      <c r="K205" s="9" t="n">
        <v>6</v>
      </c>
      <c r="L205" s="9" t="n">
        <v>10</v>
      </c>
      <c r="M205" s="9" t="n">
        <v>7</v>
      </c>
      <c r="N205" s="9" t="n">
        <v>7.7</v>
      </c>
      <c r="O205" s="9" t="n">
        <v>2</v>
      </c>
    </row>
    <row r="206" ht="58" customHeight="1">
      <c r="A206" s="9">
        <f>IMAGE("https://www.google.com/s2/favicons?domain=github.com&amp;sz=64")</f>
        <v/>
      </c>
      <c r="B206" s="10" t="inlineStr">
        <is>
          <t>EspoCRM</t>
        </is>
      </c>
      <c r="C206" s="11" t="inlineStr">
        <is>
          <t>Open source (GitHub)</t>
        </is>
      </c>
      <c r="D206" s="12" t="inlineStr">
        <is>
          <t>github.com/espocrm/espocrm</t>
        </is>
      </c>
      <c r="E206" s="11" t="inlineStr">
        <is>
          <t>Mature open-source CRM with workflows and email</t>
        </is>
      </c>
      <c r="F206" s="11" t="inlineStr">
        <is>
          <t>Free self-host; cloud from $15/mo</t>
        </is>
      </c>
      <c r="G206" s="11" t="inlineStr">
        <is>
          <t>No</t>
        </is>
      </c>
      <c r="H206" s="11" t="inlineStr">
        <is>
          <t>Proven, full-featured, cheap</t>
        </is>
      </c>
      <c r="I206" s="11" t="inlineStr">
        <is>
          <t>Dated UI; AI minimal</t>
        </is>
      </c>
      <c r="J206" s="11" t="inlineStr">
        <is>
          <t>Cost-sensitive sales teams</t>
        </is>
      </c>
      <c r="K206" s="9" t="n">
        <v>4</v>
      </c>
      <c r="L206" s="9" t="n">
        <v>10</v>
      </c>
      <c r="M206" s="9" t="n">
        <v>6</v>
      </c>
      <c r="N206" s="9" t="n">
        <v>6.7</v>
      </c>
      <c r="O206" s="9" t="n">
        <v>8</v>
      </c>
    </row>
    <row r="207" ht="58" customHeight="1">
      <c r="A207" s="9">
        <f>IMAGE("https://www.google.com/s2/favicons?domain=github.com&amp;sz=64")</f>
        <v/>
      </c>
      <c r="B207" s="10" t="inlineStr">
        <is>
          <t>Frappe CRM</t>
        </is>
      </c>
      <c r="C207" s="11" t="inlineStr">
        <is>
          <t>Open source (GitHub)</t>
        </is>
      </c>
      <c r="D207" s="12" t="inlineStr">
        <is>
          <t>github.com/frappe/crm</t>
        </is>
      </c>
      <c r="E207" s="11" t="inlineStr">
        <is>
          <t>Clean open-source CRM from the ERPNext ecosystem</t>
        </is>
      </c>
      <c r="F207" s="11" t="inlineStr">
        <is>
          <t>Free self-host; cloud plans</t>
        </is>
      </c>
      <c r="G207" s="11" t="inlineStr">
        <is>
          <t>No</t>
        </is>
      </c>
      <c r="H207" s="11" t="inlineStr">
        <is>
          <t>Modern UX; ERPNext integration</t>
        </is>
      </c>
      <c r="I207" s="11" t="inlineStr">
        <is>
          <t>Smaller community</t>
        </is>
      </c>
      <c r="J207" s="11" t="inlineStr">
        <is>
          <t>Companies already on Frappe/ERPNext</t>
        </is>
      </c>
      <c r="K207" s="9" t="n">
        <v>4</v>
      </c>
      <c r="L207" s="9" t="n">
        <v>10</v>
      </c>
      <c r="M207" s="9" t="n">
        <v>5</v>
      </c>
      <c r="N207" s="9" t="n">
        <v>6.3</v>
      </c>
      <c r="O207" s="9" t="n">
        <v>10</v>
      </c>
    </row>
    <row r="208" ht="22" customHeight="1">
      <c r="A208" s="4" t="inlineStr">
        <is>
          <t>AI Sales Outreach &amp; Prospecting</t>
        </is>
      </c>
    </row>
    <row r="209" ht="58" customHeight="1">
      <c r="A209" s="5">
        <f>IMAGE("https://www.google.com/s2/favicons?domain=zoominfo.com&amp;sz=64")</f>
        <v/>
      </c>
      <c r="B209" s="6" t="inlineStr">
        <is>
          <t>ZoomInfo Copilot</t>
        </is>
      </c>
      <c r="C209" s="7" t="inlineStr">
        <is>
          <t>Paid</t>
        </is>
      </c>
      <c r="D209" s="8" t="inlineStr">
        <is>
          <t>zoominfo.com</t>
        </is>
      </c>
      <c r="E209" s="7" t="inlineStr">
        <is>
          <t>B2B contact/company database with intent data and an AI copilot</t>
        </is>
      </c>
      <c r="F209" s="7" t="inlineStr">
        <is>
          <t>From ~$15k/yr (contract)</t>
        </is>
      </c>
      <c r="G209" s="7" t="inlineStr">
        <is>
          <t>No</t>
        </is>
      </c>
      <c r="H209" s="7" t="inlineStr">
        <is>
          <t>Deepest B2B data + buying-intent signals</t>
        </is>
      </c>
      <c r="I209" s="7" t="inlineStr">
        <is>
          <t>Expensive annual contracts</t>
        </is>
      </c>
      <c r="J209" s="7" t="inlineStr">
        <is>
          <t>Enterprise outbound teams</t>
        </is>
      </c>
      <c r="K209" s="5" t="n">
        <v>6</v>
      </c>
      <c r="L209" s="5" t="n">
        <v>3</v>
      </c>
      <c r="M209" s="5" t="n">
        <v>9</v>
      </c>
      <c r="N209" s="5" t="n">
        <v>6</v>
      </c>
      <c r="O209" s="5" t="n">
        <v>5</v>
      </c>
    </row>
    <row r="210" ht="58" customHeight="1">
      <c r="A210" s="5">
        <f>IMAGE("https://www.google.com/s2/favicons?domain=lusha.com&amp;sz=64")</f>
        <v/>
      </c>
      <c r="B210" s="6" t="inlineStr">
        <is>
          <t>Lusha</t>
        </is>
      </c>
      <c r="C210" s="7" t="inlineStr">
        <is>
          <t>Freemium</t>
        </is>
      </c>
      <c r="D210" s="8" t="inlineStr">
        <is>
          <t>lusha.com</t>
        </is>
      </c>
      <c r="E210" s="7" t="inlineStr">
        <is>
          <t>B2B contact data via web app and Chrome extension</t>
        </is>
      </c>
      <c r="F210" s="7" t="inlineStr">
        <is>
          <t>Free; from $36/user/mo</t>
        </is>
      </c>
      <c r="G210" s="7" t="inlineStr">
        <is>
          <t>No</t>
        </is>
      </c>
      <c r="H210" s="7" t="inlineStr">
        <is>
          <t>Easy to use; compliance-focused data</t>
        </is>
      </c>
      <c r="I210" s="7" t="inlineStr">
        <is>
          <t>Smaller database than ZoomInfo</t>
        </is>
      </c>
      <c r="J210" s="7" t="inlineStr">
        <is>
          <t>SDRs needing quick contact data</t>
        </is>
      </c>
      <c r="K210" s="5" t="n">
        <v>5</v>
      </c>
      <c r="L210" s="5" t="n">
        <v>6</v>
      </c>
      <c r="M210" s="5" t="n">
        <v>6</v>
      </c>
      <c r="N210" s="5" t="n">
        <v>5.7</v>
      </c>
      <c r="O210" s="5" t="n">
        <v>12</v>
      </c>
    </row>
    <row r="211" ht="58" customHeight="1">
      <c r="A211" s="5">
        <f>IMAGE("https://www.google.com/s2/favicons?domain=seamless.ai&amp;sz=64")</f>
        <v/>
      </c>
      <c r="B211" s="6" t="inlineStr">
        <is>
          <t>Seamless.AI</t>
        </is>
      </c>
      <c r="C211" s="7" t="inlineStr">
        <is>
          <t>Freemium</t>
        </is>
      </c>
      <c r="D211" s="8" t="inlineStr">
        <is>
          <t>seamless.ai</t>
        </is>
      </c>
      <c r="E211" s="7" t="inlineStr">
        <is>
          <t>Real-time AI search engine for B2B contact information</t>
        </is>
      </c>
      <c r="F211" s="7" t="inlineStr">
        <is>
          <t>Free credits; from ~$147/mo</t>
        </is>
      </c>
      <c r="G211" s="7" t="inlineStr">
        <is>
          <t>No</t>
        </is>
      </c>
      <c r="H211" s="7" t="inlineStr">
        <is>
          <t>Real-time verification; high volumes</t>
        </is>
      </c>
      <c r="I211" s="7" t="inlineStr">
        <is>
          <t>Data-accuracy complaints; pushy sales motion</t>
        </is>
      </c>
      <c r="J211" s="7" t="inlineStr">
        <is>
          <t>High-volume prospectors</t>
        </is>
      </c>
      <c r="K211" s="5" t="n">
        <v>4</v>
      </c>
      <c r="L211" s="5" t="n">
        <v>5</v>
      </c>
      <c r="M211" s="5" t="n">
        <v>6</v>
      </c>
      <c r="N211" s="5" t="n">
        <v>5</v>
      </c>
      <c r="O211" s="5" t="n">
        <v>19</v>
      </c>
    </row>
    <row r="212" ht="58" customHeight="1">
      <c r="A212" s="5">
        <f>IMAGE("https://www.google.com/s2/favicons?domain=instantly.ai&amp;sz=64")</f>
        <v/>
      </c>
      <c r="B212" s="6" t="inlineStr">
        <is>
          <t>Instantly</t>
        </is>
      </c>
      <c r="C212" s="7" t="inlineStr">
        <is>
          <t>Paid</t>
        </is>
      </c>
      <c r="D212" s="8" t="inlineStr">
        <is>
          <t>instantly.ai</t>
        </is>
      </c>
      <c r="E212" s="7" t="inlineStr">
        <is>
          <t>Cold email at scale: warmup, inbox rotation, deliverability, AI writing</t>
        </is>
      </c>
      <c r="F212" s="7" t="inlineStr">
        <is>
          <t>From $37/mo</t>
        </is>
      </c>
      <c r="G212" s="7" t="inlineStr">
        <is>
          <t>No</t>
        </is>
      </c>
      <c r="H212" s="7" t="inlineStr">
        <is>
          <t>Best-known deliverability stack; unlimited sending accounts</t>
        </is>
      </c>
      <c r="I212" s="7" t="inlineStr">
        <is>
          <t>Cold-email compliance is on you</t>
        </is>
      </c>
      <c r="J212" s="7" t="inlineStr">
        <is>
          <t>Agencies and outbound startups</t>
        </is>
      </c>
      <c r="K212" s="5" t="n">
        <v>5</v>
      </c>
      <c r="L212" s="5" t="n">
        <v>7</v>
      </c>
      <c r="M212" s="5" t="n">
        <v>7</v>
      </c>
      <c r="N212" s="5" t="n">
        <v>6.3</v>
      </c>
      <c r="O212" s="5" t="n">
        <v>3</v>
      </c>
    </row>
    <row r="213" ht="58" customHeight="1">
      <c r="A213" s="5">
        <f>IMAGE("https://www.google.com/s2/favicons?domain=smartlead.ai&amp;sz=64")</f>
        <v/>
      </c>
      <c r="B213" s="6" t="inlineStr">
        <is>
          <t>Smartlead</t>
        </is>
      </c>
      <c r="C213" s="7" t="inlineStr">
        <is>
          <t>Paid</t>
        </is>
      </c>
      <c r="D213" s="8" t="inlineStr">
        <is>
          <t>smartlead.ai</t>
        </is>
      </c>
      <c r="E213" s="7" t="inlineStr">
        <is>
          <t>Cold email infrastructure with unlimited mailboxes and AI warmup</t>
        </is>
      </c>
      <c r="F213" s="7" t="inlineStr">
        <is>
          <t>From $39/mo</t>
        </is>
      </c>
      <c r="G213" s="7" t="inlineStr">
        <is>
          <t>No</t>
        </is>
      </c>
      <c r="H213" s="7" t="inlineStr">
        <is>
          <t>Unlimited mailboxes; API-first</t>
        </is>
      </c>
      <c r="I213" s="7" t="inlineStr">
        <is>
          <t>UI rough edges</t>
        </is>
      </c>
      <c r="J213" s="7" t="inlineStr">
        <is>
          <t>Outbound agencies</t>
        </is>
      </c>
      <c r="K213" s="5" t="n">
        <v>5</v>
      </c>
      <c r="L213" s="5" t="n">
        <v>7</v>
      </c>
      <c r="M213" s="5" t="n">
        <v>7</v>
      </c>
      <c r="N213" s="5" t="n">
        <v>6.3</v>
      </c>
      <c r="O213" s="5" t="n">
        <v>4</v>
      </c>
    </row>
    <row r="214" ht="58" customHeight="1">
      <c r="A214" s="5">
        <f>IMAGE("https://www.google.com/s2/favicons?domain=lemlist.com&amp;sz=64")</f>
        <v/>
      </c>
      <c r="B214" s="6" t="inlineStr">
        <is>
          <t>lemlist</t>
        </is>
      </c>
      <c r="C214" s="7" t="inlineStr">
        <is>
          <t>Paid</t>
        </is>
      </c>
      <c r="D214" s="8" t="inlineStr">
        <is>
          <t>lemlist.com</t>
        </is>
      </c>
      <c r="E214" s="7" t="inlineStr">
        <is>
          <t>Multichannel outreach (email/LinkedIn/calls) with AI personalisation</t>
        </is>
      </c>
      <c r="F214" s="7" t="inlineStr">
        <is>
          <t>From $39/user/mo</t>
        </is>
      </c>
      <c r="G214" s="7" t="inlineStr">
        <is>
          <t>No</t>
        </is>
      </c>
      <c r="H214" s="7" t="inlineStr">
        <is>
          <t>Strong personalisation (images, dynamic content)</t>
        </is>
      </c>
      <c r="I214" s="7" t="inlineStr">
        <is>
          <t>Per-seat costs add up</t>
        </is>
      </c>
      <c r="J214" s="7" t="inlineStr">
        <is>
          <t>SDRs doing personalised sequences</t>
        </is>
      </c>
      <c r="K214" s="5" t="n">
        <v>5</v>
      </c>
      <c r="L214" s="5" t="n">
        <v>6</v>
      </c>
      <c r="M214" s="5" t="n">
        <v>7</v>
      </c>
      <c r="N214" s="5" t="n">
        <v>6</v>
      </c>
      <c r="O214" s="5" t="n">
        <v>6</v>
      </c>
    </row>
    <row r="215" ht="58" customHeight="1">
      <c r="A215" s="5">
        <f>IMAGE("https://www.google.com/s2/favicons?domain=reply.io&amp;sz=64")</f>
        <v/>
      </c>
      <c r="B215" s="6" t="inlineStr">
        <is>
          <t>Reply.io</t>
        </is>
      </c>
      <c r="C215" s="7" t="inlineStr">
        <is>
          <t>Paid</t>
        </is>
      </c>
      <c r="D215" s="8" t="inlineStr">
        <is>
          <t>reply.io</t>
        </is>
      </c>
      <c r="E215" s="7" t="inlineStr">
        <is>
          <t>AI SDR agents plus multichannel sales sequences</t>
        </is>
      </c>
      <c r="F215" s="7" t="inlineStr">
        <is>
          <t>From $59/user/mo; AI SDR from ~$259/mo</t>
        </is>
      </c>
      <c r="G215" s="7" t="inlineStr">
        <is>
          <t>No</t>
        </is>
      </c>
      <c r="H215" s="7" t="inlineStr">
        <is>
          <t>Mature sequencer with AI-agent option</t>
        </is>
      </c>
      <c r="I215" s="7" t="inlineStr">
        <is>
          <t>AI-agent quality varies</t>
        </is>
      </c>
      <c r="J215" s="7" t="inlineStr">
        <is>
          <t>Lean teams automating outreach</t>
        </is>
      </c>
      <c r="K215" s="5" t="n">
        <v>5</v>
      </c>
      <c r="L215" s="5" t="n">
        <v>6</v>
      </c>
      <c r="M215" s="5" t="n">
        <v>7</v>
      </c>
      <c r="N215" s="5" t="n">
        <v>6</v>
      </c>
      <c r="O215" s="5" t="n">
        <v>7</v>
      </c>
    </row>
    <row r="216" ht="58" customHeight="1">
      <c r="A216" s="5">
        <f>IMAGE("https://www.google.com/s2/favicons?domain=qualified.com&amp;sz=64")</f>
        <v/>
      </c>
      <c r="B216" s="6" t="inlineStr">
        <is>
          <t>Qualified</t>
        </is>
      </c>
      <c r="C216" s="7" t="inlineStr">
        <is>
          <t>Paid</t>
        </is>
      </c>
      <c r="D216" s="8" t="inlineStr">
        <is>
          <t>qualified.com</t>
        </is>
      </c>
      <c r="E216" s="7" t="inlineStr">
        <is>
          <t>AI SDR 'Piper' converts website visitors into pipeline (Salesforce-native)</t>
        </is>
      </c>
      <c r="F216" s="7" t="inlineStr">
        <is>
          <t>From ~$3,500/mo</t>
        </is>
      </c>
      <c r="G216" s="7" t="inlineStr">
        <is>
          <t>No</t>
        </is>
      </c>
      <c r="H216" s="7" t="inlineStr">
        <is>
          <t>Best-in-class inbound conversion for Salesforce shops</t>
        </is>
      </c>
      <c r="I216" s="7" t="inlineStr">
        <is>
          <t>Enterprise pricing; Salesforce required</t>
        </is>
      </c>
      <c r="J216" s="7" t="inlineStr">
        <is>
          <t>Enterprise demand-gen teams</t>
        </is>
      </c>
      <c r="K216" s="5" t="n">
        <v>6</v>
      </c>
      <c r="L216" s="5" t="n">
        <v>3</v>
      </c>
      <c r="M216" s="5" t="n">
        <v>8</v>
      </c>
      <c r="N216" s="5" t="n">
        <v>5.7</v>
      </c>
      <c r="O216" s="5" t="n">
        <v>13</v>
      </c>
    </row>
    <row r="217" ht="58" customHeight="1">
      <c r="A217" s="5">
        <f>IMAGE("https://www.google.com/s2/favicons?domain=11x.ai&amp;sz=64")</f>
        <v/>
      </c>
      <c r="B217" s="6" t="inlineStr">
        <is>
          <t>11x</t>
        </is>
      </c>
      <c r="C217" s="7" t="inlineStr">
        <is>
          <t>Paid</t>
        </is>
      </c>
      <c r="D217" s="8" t="inlineStr">
        <is>
          <t>11x.ai</t>
        </is>
      </c>
      <c r="E217" s="7" t="inlineStr">
        <is>
          <t>Autonomous 'digital worker' AI SDRs (Alice) running outbound end-to-end</t>
        </is>
      </c>
      <c r="F217" s="7" t="inlineStr">
        <is>
          <t>Custom (thousands/mo)</t>
        </is>
      </c>
      <c r="G217" s="7" t="inlineStr">
        <is>
          <t>No</t>
        </is>
      </c>
      <c r="H217" s="7" t="inlineStr">
        <is>
          <t>Fully autonomous outbound experiments</t>
        </is>
      </c>
      <c r="I217" s="7" t="inlineStr">
        <is>
          <t>Mixed quality reports; hype-heavy category</t>
        </is>
      </c>
      <c r="J217" s="7" t="inlineStr">
        <is>
          <t>Teams experimenting with AI SDRs</t>
        </is>
      </c>
      <c r="K217" s="5" t="n">
        <v>4</v>
      </c>
      <c r="L217" s="5" t="n">
        <v>3</v>
      </c>
      <c r="M217" s="5" t="n">
        <v>6</v>
      </c>
      <c r="N217" s="5" t="n">
        <v>4.3</v>
      </c>
      <c r="O217" s="5" t="n">
        <v>24</v>
      </c>
    </row>
    <row r="218" ht="58" customHeight="1">
      <c r="A218" s="5">
        <f>IMAGE("https://www.google.com/s2/favicons?domain=artisan.co&amp;sz=64")</f>
        <v/>
      </c>
      <c r="B218" s="6" t="inlineStr">
        <is>
          <t>Artisan</t>
        </is>
      </c>
      <c r="C218" s="7" t="inlineStr">
        <is>
          <t>Paid</t>
        </is>
      </c>
      <c r="D218" s="8" t="inlineStr">
        <is>
          <t>artisan.co</t>
        </is>
      </c>
      <c r="E218" s="7" t="inlineStr">
        <is>
          <t>AI BDR 'Ava': finds leads, researches, writes and sends outbound</t>
        </is>
      </c>
      <c r="F218" s="7" t="inlineStr">
        <is>
          <t>Custom (from ~$2k/mo)</t>
        </is>
      </c>
      <c r="G218" s="7" t="inlineStr">
        <is>
          <t>No</t>
        </is>
      </c>
      <c r="H218" s="7" t="inlineStr">
        <is>
          <t>Consolidates data + email infra + AI in one</t>
        </is>
      </c>
      <c r="I218" s="7" t="inlineStr">
        <is>
          <t>Young product; needs supervision</t>
        </is>
      </c>
      <c r="J218" s="7" t="inlineStr">
        <is>
          <t>Startups without SDR headcount</t>
        </is>
      </c>
      <c r="K218" s="5" t="n">
        <v>4</v>
      </c>
      <c r="L218" s="5" t="n">
        <v>3</v>
      </c>
      <c r="M218" s="5" t="n">
        <v>6</v>
      </c>
      <c r="N218" s="5" t="n">
        <v>4.3</v>
      </c>
      <c r="O218" s="5" t="n">
        <v>25</v>
      </c>
    </row>
    <row r="219" ht="58" customHeight="1">
      <c r="A219" s="5">
        <f>IMAGE("https://www.google.com/s2/favicons?domain=nooks.ai&amp;sz=64")</f>
        <v/>
      </c>
      <c r="B219" s="6" t="inlineStr">
        <is>
          <t>Nooks</t>
        </is>
      </c>
      <c r="C219" s="7" t="inlineStr">
        <is>
          <t>Paid</t>
        </is>
      </c>
      <c r="D219" s="8" t="inlineStr">
        <is>
          <t>nooks.ai</t>
        </is>
      </c>
      <c r="E219" s="7" t="inlineStr">
        <is>
          <t>AI parallel dialer, virtual salesfloor and call coaching</t>
        </is>
      </c>
      <c r="F219" s="7" t="inlineStr">
        <is>
          <t>Custom (~$200/user/mo)</t>
        </is>
      </c>
      <c r="G219" s="7" t="inlineStr">
        <is>
          <t>No</t>
        </is>
      </c>
      <c r="H219" s="7" t="inlineStr">
        <is>
          <t>3-5x connect rates for calling teams</t>
        </is>
      </c>
      <c r="I219" s="7" t="inlineStr">
        <is>
          <t>Dialer-centric; custom pricing</t>
        </is>
      </c>
      <c r="J219" s="7" t="inlineStr">
        <is>
          <t>Cold-calling SDR teams</t>
        </is>
      </c>
      <c r="K219" s="5" t="n">
        <v>5</v>
      </c>
      <c r="L219" s="5" t="n">
        <v>4</v>
      </c>
      <c r="M219" s="5" t="n">
        <v>7</v>
      </c>
      <c r="N219" s="5" t="n">
        <v>5.3</v>
      </c>
      <c r="O219" s="5" t="n">
        <v>14</v>
      </c>
    </row>
    <row r="220" ht="58" customHeight="1">
      <c r="A220" s="5">
        <f>IMAGE("https://www.google.com/s2/favicons?domain=warmly.ai&amp;sz=64")</f>
        <v/>
      </c>
      <c r="B220" s="6" t="inlineStr">
        <is>
          <t>Warmly</t>
        </is>
      </c>
      <c r="C220" s="7" t="inlineStr">
        <is>
          <t>Freemium</t>
        </is>
      </c>
      <c r="D220" s="8" t="inlineStr">
        <is>
          <t>warmly.ai</t>
        </is>
      </c>
      <c r="E220" s="7" t="inlineStr">
        <is>
          <t>De-anonymises website visitors and orchestrates AI outreach to them</t>
        </is>
      </c>
      <c r="F220" s="7" t="inlineStr">
        <is>
          <t>Free; from ~$700/mo</t>
        </is>
      </c>
      <c r="G220" s="7" t="inlineStr">
        <is>
          <t>No</t>
        </is>
      </c>
      <c r="H220" s="7" t="inlineStr">
        <is>
          <t>Good intent signals for the price</t>
        </is>
      </c>
      <c r="I220" s="7" t="inlineStr">
        <is>
          <t>Pricing jumps sharply after free tier</t>
        </is>
      </c>
      <c r="J220" s="7" t="inlineStr">
        <is>
          <t>SMB pipeline teams</t>
        </is>
      </c>
      <c r="K220" s="5" t="n">
        <v>4</v>
      </c>
      <c r="L220" s="5" t="n">
        <v>5</v>
      </c>
      <c r="M220" s="5" t="n">
        <v>6</v>
      </c>
      <c r="N220" s="5" t="n">
        <v>5</v>
      </c>
      <c r="O220" s="5" t="n">
        <v>20</v>
      </c>
    </row>
    <row r="221" ht="58" customHeight="1">
      <c r="A221" s="5">
        <f>IMAGE("https://www.google.com/s2/favicons?domain=crystalknows.com&amp;sz=64")</f>
        <v/>
      </c>
      <c r="B221" s="6" t="inlineStr">
        <is>
          <t>Crystal</t>
        </is>
      </c>
      <c r="C221" s="7" t="inlineStr">
        <is>
          <t>Freemium</t>
        </is>
      </c>
      <c r="D221" s="8" t="inlineStr">
        <is>
          <t>crystalknows.com</t>
        </is>
      </c>
      <c r="E221" s="7" t="inlineStr">
        <is>
          <t>DISC personality profiles for prospects to tailor messaging</t>
        </is>
      </c>
      <c r="F221" s="7" t="inlineStr">
        <is>
          <t>Free; from $49/mo</t>
        </is>
      </c>
      <c r="G221" s="7" t="inlineStr">
        <is>
          <t>No</t>
        </is>
      </c>
      <c r="H221" s="7" t="inlineStr">
        <is>
          <t>Unique personality-based angle</t>
        </is>
      </c>
      <c r="I221" s="7" t="inlineStr">
        <is>
          <t>Profile accuracy varies</t>
        </is>
      </c>
      <c r="J221" s="7" t="inlineStr">
        <is>
          <t>Relationship-driven sellers</t>
        </is>
      </c>
      <c r="K221" s="5" t="n">
        <v>4</v>
      </c>
      <c r="L221" s="5" t="n">
        <v>5</v>
      </c>
      <c r="M221" s="5" t="n">
        <v>6</v>
      </c>
      <c r="N221" s="5" t="n">
        <v>5</v>
      </c>
      <c r="O221" s="5" t="n">
        <v>21</v>
      </c>
    </row>
    <row r="222" ht="58" customHeight="1">
      <c r="A222" s="5">
        <f>IMAGE("https://www.google.com/s2/favicons?domain=regie.ai&amp;sz=64")</f>
        <v/>
      </c>
      <c r="B222" s="6" t="inlineStr">
        <is>
          <t>Regie.ai</t>
        </is>
      </c>
      <c r="C222" s="7" t="inlineStr">
        <is>
          <t>Paid</t>
        </is>
      </c>
      <c r="D222" s="8" t="inlineStr">
        <is>
          <t>regie.ai</t>
        </is>
      </c>
      <c r="E222" s="7" t="inlineStr">
        <is>
          <t>Generative AI platform for sales prospecting content and sequencing</t>
        </is>
      </c>
      <c r="F222" s="7" t="inlineStr">
        <is>
          <t>Custom pricing</t>
        </is>
      </c>
      <c r="G222" s="7" t="inlineStr">
        <is>
          <t>No</t>
        </is>
      </c>
      <c r="H222" s="7" t="inlineStr">
        <is>
          <t>Brand-controlled AI sales content at scale</t>
        </is>
      </c>
      <c r="I222" s="7" t="inlineStr">
        <is>
          <t>Opaque pricing</t>
        </is>
      </c>
      <c r="J222" s="7" t="inlineStr">
        <is>
          <t>Enterprise SDR organisations</t>
        </is>
      </c>
      <c r="K222" s="5" t="n">
        <v>4</v>
      </c>
      <c r="L222" s="5" t="n">
        <v>4</v>
      </c>
      <c r="M222" s="5" t="n">
        <v>6</v>
      </c>
      <c r="N222" s="5" t="n">
        <v>4.7</v>
      </c>
      <c r="O222" s="5" t="n">
        <v>23</v>
      </c>
    </row>
    <row r="223" ht="58" customHeight="1">
      <c r="A223" s="5">
        <f>IMAGE("https://www.google.com/s2/favicons?domain=salesape.ai&amp;sz=64")</f>
        <v/>
      </c>
      <c r="B223" s="6" t="inlineStr">
        <is>
          <t>SalesAPE.ai</t>
        </is>
      </c>
      <c r="C223" s="7" t="inlineStr">
        <is>
          <t>Paid</t>
        </is>
      </c>
      <c r="D223" s="8" t="inlineStr">
        <is>
          <t>salesape.ai</t>
        </is>
      </c>
      <c r="E223" s="7" t="inlineStr">
        <is>
          <t>AI inbound sales agent: qualifies leads via chat/SMS/WhatsApp/email and books meetings 24/7</t>
        </is>
      </c>
      <c r="F223" s="7" t="inlineStr">
        <is>
          <t>~$999/mo + ~$3k setup (quote-based)</t>
        </is>
      </c>
      <c r="G223" s="7" t="inlineStr">
        <is>
          <t>No</t>
        </is>
      </c>
      <c r="H223" s="7" t="inlineStr">
        <is>
          <t>Responds to inbound leads in seconds across channels</t>
        </is>
      </c>
      <c r="I223" s="7" t="inlineStr">
        <is>
          <t>Quote-only pricing; setup fee</t>
        </is>
      </c>
      <c r="J223" s="7" t="inlineStr">
        <is>
          <t>SMBs losing inbound leads to slow follow-up</t>
        </is>
      </c>
      <c r="K223" s="5" t="n">
        <v>4</v>
      </c>
      <c r="L223" s="5" t="n">
        <v>4</v>
      </c>
      <c r="M223" s="5" t="n">
        <v>7</v>
      </c>
      <c r="N223" s="5" t="n">
        <v>5</v>
      </c>
      <c r="O223" s="5" t="n">
        <v>22</v>
      </c>
    </row>
    <row r="224" ht="58" customHeight="1">
      <c r="A224" s="5">
        <f>IMAGE("https://www.google.com/s2/favicons?domain=altahq.com&amp;sz=64")</f>
        <v/>
      </c>
      <c r="B224" s="6" t="inlineStr">
        <is>
          <t>Alta</t>
        </is>
      </c>
      <c r="C224" s="7" t="inlineStr">
        <is>
          <t>Paid</t>
        </is>
      </c>
      <c r="D224" s="8" t="inlineStr">
        <is>
          <t>altahq.com</t>
        </is>
      </c>
      <c r="E224" s="7" t="inlineStr">
        <is>
          <t>AI GTM agent team (Katie SDR, Alex calling, Luna analytics) on one shared data layer</t>
        </is>
      </c>
      <c r="F224" s="7" t="inlineStr">
        <is>
          <t>Custom platform fee</t>
        </is>
      </c>
      <c r="G224" s="7" t="inlineStr">
        <is>
          <t>No</t>
        </is>
      </c>
      <c r="H224" s="7" t="inlineStr">
        <is>
          <t>Full agent team incl. voice; Salesforce app; used by Snowflake/Deel</t>
        </is>
      </c>
      <c r="I224" s="7" t="inlineStr">
        <is>
          <t>Custom pricing; newer vendor</t>
        </is>
      </c>
      <c r="J224" s="7" t="inlineStr">
        <is>
          <t>B2B teams automating top-of-funnel</t>
        </is>
      </c>
      <c r="K224" s="5" t="n">
        <v>6</v>
      </c>
      <c r="L224" s="5" t="n">
        <v>4</v>
      </c>
      <c r="M224" s="5" t="n">
        <v>8</v>
      </c>
      <c r="N224" s="5" t="n">
        <v>6</v>
      </c>
      <c r="O224" s="5" t="n">
        <v>8</v>
      </c>
    </row>
    <row r="225" ht="58" customHeight="1">
      <c r="A225" s="5">
        <f>IMAGE("https://www.google.com/s2/favicons?domain=salescloser.ai&amp;sz=64")</f>
        <v/>
      </c>
      <c r="B225" s="6" t="inlineStr">
        <is>
          <t>SalesCloser AI</t>
        </is>
      </c>
      <c r="C225" s="7" t="inlineStr">
        <is>
          <t>Paid</t>
        </is>
      </c>
      <c r="D225" s="8" t="inlineStr">
        <is>
          <t>salescloser.ai</t>
        </is>
      </c>
      <c r="E225" s="7" t="inlineStr">
        <is>
          <t>AI sales agent that runs discovery and demo calls over phone/Zoom in 32+ languages, 24/7</t>
        </is>
      </c>
      <c r="F225" s="7" t="inlineStr">
        <is>
          <t>From $1,000/mo; Enterprise $2,500/mo</t>
        </is>
      </c>
      <c r="G225" s="7" t="inlineStr">
        <is>
          <t>No</t>
        </is>
      </c>
      <c r="H225" s="7" t="inlineStr">
        <is>
          <t>Flat-rate pricing; screen-share demos; multilingual</t>
        </is>
      </c>
      <c r="I225" s="7" t="inlineStr">
        <is>
          <t>Trusting AI to run sales calls suits simple products best</t>
        </is>
      </c>
      <c r="J225" s="7" t="inlineStr">
        <is>
          <t>SaaS with high-volume, simple demos</t>
        </is>
      </c>
      <c r="K225" s="5" t="n">
        <v>5</v>
      </c>
      <c r="L225" s="5" t="n">
        <v>4</v>
      </c>
      <c r="M225" s="5" t="n">
        <v>7</v>
      </c>
      <c r="N225" s="5" t="n">
        <v>5.3</v>
      </c>
      <c r="O225" s="5" t="n">
        <v>15</v>
      </c>
    </row>
    <row r="226" ht="58" customHeight="1">
      <c r="A226" s="5">
        <f>IMAGE("https://www.google.com/s2/favicons?domain=aisdr.com&amp;sz=64")</f>
        <v/>
      </c>
      <c r="B226" s="6" t="inlineStr">
        <is>
          <t>AiSDR</t>
        </is>
      </c>
      <c r="C226" s="7" t="inlineStr">
        <is>
          <t>Paid</t>
        </is>
      </c>
      <c r="D226" s="8" t="inlineStr">
        <is>
          <t>aisdr.com</t>
        </is>
      </c>
      <c r="E226" s="7" t="inlineStr">
        <is>
          <t>AI SDR for email + LinkedIn outreach with HubSpot/Salesforce integration</t>
        </is>
      </c>
      <c r="F226" s="7" t="inlineStr">
        <is>
          <t>From $900/mo (1,200 messages)</t>
        </is>
      </c>
      <c r="G226" s="7" t="inlineStr">
        <is>
          <t>No</t>
        </is>
      </c>
      <c r="H226" s="7" t="inlineStr">
        <is>
          <t>Transparent pricing; solid CRM integrations</t>
        </is>
      </c>
      <c r="I226" s="7" t="inlineStr">
        <is>
          <t>Feature set reflects the price point</t>
        </is>
      </c>
      <c r="J226" s="7" t="inlineStr">
        <is>
          <t>Teams testing AI SDRs without enterprise contracts</t>
        </is>
      </c>
      <c r="K226" s="5" t="n">
        <v>5</v>
      </c>
      <c r="L226" s="5" t="n">
        <v>4</v>
      </c>
      <c r="M226" s="5" t="n">
        <v>7</v>
      </c>
      <c r="N226" s="5" t="n">
        <v>5.3</v>
      </c>
      <c r="O226" s="5" t="n">
        <v>16</v>
      </c>
    </row>
    <row r="227" ht="58" customHeight="1">
      <c r="A227" s="5">
        <f>IMAGE("https://www.google.com/s2/favicons?domain=salesforge.ai&amp;sz=64")</f>
        <v/>
      </c>
      <c r="B227" s="6" t="inlineStr">
        <is>
          <t>Salesforge</t>
        </is>
      </c>
      <c r="C227" s="7" t="inlineStr">
        <is>
          <t>Paid</t>
        </is>
      </c>
      <c r="D227" s="8" t="inlineStr">
        <is>
          <t>salesforge.ai</t>
        </is>
      </c>
      <c r="E227" s="7" t="inlineStr">
        <is>
          <t>Cold email platform with 'Agent Frank', an AI SDR in co-pilot or autopilot mode</t>
        </is>
      </c>
      <c r="F227" s="7" t="inlineStr">
        <is>
          <t>From $40/mo; Agent Frank from $416/mo</t>
        </is>
      </c>
      <c r="G227" s="7" t="inlineStr">
        <is>
          <t>No</t>
        </is>
      </c>
      <c r="H227" s="7" t="inlineStr">
        <is>
          <t>Co-pilot mode keeps humans in the loop; good deliverability</t>
        </is>
      </c>
      <c r="I227" s="7" t="inlineStr">
        <is>
          <t>Email-focused</t>
        </is>
      </c>
      <c r="J227" s="7" t="inlineStr">
        <is>
          <t>Lean outbound teams</t>
        </is>
      </c>
      <c r="K227" s="5" t="n">
        <v>5</v>
      </c>
      <c r="L227" s="5" t="n">
        <v>6</v>
      </c>
      <c r="M227" s="5" t="n">
        <v>7</v>
      </c>
      <c r="N227" s="5" t="n">
        <v>6</v>
      </c>
      <c r="O227" s="5" t="n">
        <v>9</v>
      </c>
    </row>
    <row r="228" ht="58" customHeight="1">
      <c r="A228" s="5">
        <f>IMAGE("https://www.google.com/s2/favicons?domain=amplemarket.com&amp;sz=64")</f>
        <v/>
      </c>
      <c r="B228" s="6" t="inlineStr">
        <is>
          <t>Amplemarket</t>
        </is>
      </c>
      <c r="C228" s="7" t="inlineStr">
        <is>
          <t>Paid</t>
        </is>
      </c>
      <c r="D228" s="8" t="inlineStr">
        <is>
          <t>amplemarket.com</t>
        </is>
      </c>
      <c r="E228" s="7" t="inlineStr">
        <is>
          <t>AI sales platform with 'Duo' copilot: B2B data, sequencing and AI in one</t>
        </is>
      </c>
      <c r="F228" s="7" t="inlineStr">
        <is>
          <t>~$3,200/user/yr (annual contracts)</t>
        </is>
      </c>
      <c r="G228" s="7" t="inlineStr">
        <is>
          <t>No</t>
        </is>
      </c>
      <c r="H228" s="7" t="inlineStr">
        <is>
          <t>Human+AI Duo approach; all-in-one data + outreach</t>
        </is>
      </c>
      <c r="I228" s="7" t="inlineStr">
        <is>
          <t>Annual commitment; pricier per seat</t>
        </is>
      </c>
      <c r="J228" s="7" t="inlineStr">
        <is>
          <t>Mid-market outbound teams</t>
        </is>
      </c>
      <c r="K228" s="5" t="n">
        <v>6</v>
      </c>
      <c r="L228" s="5" t="n">
        <v>4</v>
      </c>
      <c r="M228" s="5" t="n">
        <v>8</v>
      </c>
      <c r="N228" s="5" t="n">
        <v>6</v>
      </c>
      <c r="O228" s="5" t="n">
        <v>10</v>
      </c>
    </row>
    <row r="229" ht="58" customHeight="1">
      <c r="A229" s="5">
        <f>IMAGE("https://www.google.com/s2/favicons?domain=relevanceai.com&amp;sz=64")</f>
        <v/>
      </c>
      <c r="B229" s="6" t="inlineStr">
        <is>
          <t>Relevance AI</t>
        </is>
      </c>
      <c r="C229" s="7" t="inlineStr">
        <is>
          <t>Freemium</t>
        </is>
      </c>
      <c r="D229" s="8" t="inlineStr">
        <is>
          <t>relevanceai.com</t>
        </is>
      </c>
      <c r="E229" s="7" t="inlineStr">
        <is>
          <t>No-code AI workforce builder: custom sales agents (incl. Bosh AI BDR) and workflows</t>
        </is>
      </c>
      <c r="F229" s="7" t="inlineStr">
        <is>
          <t>Free tier; from ~$19/mo + usage</t>
        </is>
      </c>
      <c r="G229" s="7" t="inlineStr">
        <is>
          <t>Yes — Claude selectable as the agent model</t>
        </is>
      </c>
      <c r="H229" s="7" t="inlineStr">
        <is>
          <t>Build exactly the agent you want without code</t>
        </is>
      </c>
      <c r="I229" s="7" t="inlineStr">
        <is>
          <t>More setup than turnkey AI SDRs</t>
        </is>
      </c>
      <c r="J229" s="7" t="inlineStr">
        <is>
          <t>RevOps teams building custom agents</t>
        </is>
      </c>
      <c r="K229" s="5" t="n">
        <v>7</v>
      </c>
      <c r="L229" s="5" t="n">
        <v>7</v>
      </c>
      <c r="M229" s="5" t="n">
        <v>7</v>
      </c>
      <c r="N229" s="5" t="n">
        <v>7</v>
      </c>
      <c r="O229" s="5" t="n">
        <v>1</v>
      </c>
    </row>
    <row r="230" ht="58" customHeight="1">
      <c r="A230" s="5">
        <f>IMAGE("https://www.google.com/s2/favicons?domain=unifygtm.com&amp;sz=64")</f>
        <v/>
      </c>
      <c r="B230" s="6" t="inlineStr">
        <is>
          <t>Unify</t>
        </is>
      </c>
      <c r="C230" s="7" t="inlineStr">
        <is>
          <t>Paid</t>
        </is>
      </c>
      <c r="D230" s="8" t="inlineStr">
        <is>
          <t>unifygtm.com</t>
        </is>
      </c>
      <c r="E230" s="7" t="inlineStr">
        <is>
          <t>Warm outbound: buying signals, website intent and AI-personalised sequences</t>
        </is>
      </c>
      <c r="F230" s="7" t="inlineStr">
        <is>
          <t>From ~$700/mo (custom)</t>
        </is>
      </c>
      <c r="G230" s="7" t="inlineStr">
        <is>
          <t>No</t>
        </is>
      </c>
      <c r="H230" s="7" t="inlineStr">
        <is>
          <t>Signal-based outbound beats cold lists</t>
        </is>
      </c>
      <c r="I230" s="7" t="inlineStr">
        <is>
          <t>Price; needs traffic/signals to shine</t>
        </is>
      </c>
      <c r="J230" s="7" t="inlineStr">
        <is>
          <t>PLG and mid-market growth teams</t>
        </is>
      </c>
      <c r="K230" s="5" t="n">
        <v>5</v>
      </c>
      <c r="L230" s="5" t="n">
        <v>4</v>
      </c>
      <c r="M230" s="5" t="n">
        <v>7</v>
      </c>
      <c r="N230" s="5" t="n">
        <v>5.3</v>
      </c>
      <c r="O230" s="5" t="n">
        <v>17</v>
      </c>
    </row>
    <row r="231" ht="58" customHeight="1">
      <c r="A231" s="5">
        <f>IMAGE("https://www.google.com/s2/favicons?domain=commonroom.io&amp;sz=64")</f>
        <v/>
      </c>
      <c r="B231" s="6" t="inlineStr">
        <is>
          <t>Common Room</t>
        </is>
      </c>
      <c r="C231" s="7" t="inlineStr">
        <is>
          <t>Paid</t>
        </is>
      </c>
      <c r="D231" s="8" t="inlineStr">
        <is>
          <t>commonroom.io</t>
        </is>
      </c>
      <c r="E231" s="7" t="inlineStr">
        <is>
          <t>Customer intelligence: aggregates community, product and social signals for GTM (RoomieAI)</t>
        </is>
      </c>
      <c r="F231" s="7" t="inlineStr">
        <is>
          <t>From ~$999/mo</t>
        </is>
      </c>
      <c r="G231" s="7" t="inlineStr">
        <is>
          <t>No</t>
        </is>
      </c>
      <c r="H231" s="7" t="inlineStr">
        <is>
          <t>Unmatched signal coverage (30+ channels)</t>
        </is>
      </c>
      <c r="I231" s="7" t="inlineStr">
        <is>
          <t>Cost; needs dedicated ops attention</t>
        </is>
      </c>
      <c r="J231" s="7" t="inlineStr">
        <is>
          <t>DevTool and PLG companies</t>
        </is>
      </c>
      <c r="K231" s="5" t="n">
        <v>6</v>
      </c>
      <c r="L231" s="5" t="n">
        <v>4</v>
      </c>
      <c r="M231" s="5" t="n">
        <v>8</v>
      </c>
      <c r="N231" s="5" t="n">
        <v>6</v>
      </c>
      <c r="O231" s="5" t="n">
        <v>11</v>
      </c>
    </row>
    <row r="232" ht="58" customHeight="1">
      <c r="A232" s="5">
        <f>IMAGE("https://www.google.com/s2/favicons?domain=humantic.ai&amp;sz=64")</f>
        <v/>
      </c>
      <c r="B232" s="6" t="inlineStr">
        <is>
          <t>Humantic AI</t>
        </is>
      </c>
      <c r="C232" s="7" t="inlineStr">
        <is>
          <t>Freemium</t>
        </is>
      </c>
      <c r="D232" s="8" t="inlineStr">
        <is>
          <t>humantic.ai</t>
        </is>
      </c>
      <c r="E232" s="7" t="inlineStr">
        <is>
          <t>Buyer personality intelligence (DISC) for personalised selling in LinkedIn/CRM</t>
        </is>
      </c>
      <c r="F232" s="7" t="inlineStr">
        <is>
          <t>Free trial; from ~$30/mo</t>
        </is>
      </c>
      <c r="G232" s="7" t="inlineStr">
        <is>
          <t>No</t>
        </is>
      </c>
      <c r="H232" s="7" t="inlineStr">
        <is>
          <t>Personality insights where you work</t>
        </is>
      </c>
      <c r="I232" s="7" t="inlineStr">
        <is>
          <t>Accuracy debatable; niche</t>
        </is>
      </c>
      <c r="J232" s="7" t="inlineStr">
        <is>
          <t>Enterprise AEs personalising outreach</t>
        </is>
      </c>
      <c r="K232" s="5" t="n">
        <v>4</v>
      </c>
      <c r="L232" s="5" t="n">
        <v>6</v>
      </c>
      <c r="M232" s="5" t="n">
        <v>6</v>
      </c>
      <c r="N232" s="5" t="n">
        <v>5.3</v>
      </c>
      <c r="O232" s="5" t="n">
        <v>18</v>
      </c>
    </row>
    <row r="233" ht="58" customHeight="1">
      <c r="A233" s="9">
        <f>IMAGE("https://www.google.com/s2/favicons?domain=github.com&amp;sz=64")</f>
        <v/>
      </c>
      <c r="B233" s="10" t="inlineStr">
        <is>
          <t>Listmonk</t>
        </is>
      </c>
      <c r="C233" s="11" t="inlineStr">
        <is>
          <t>Open source (GitHub)</t>
        </is>
      </c>
      <c r="D233" s="12" t="inlineStr">
        <is>
          <t>github.com/knadh/listmonk</t>
        </is>
      </c>
      <c r="E233" s="11" t="inlineStr">
        <is>
          <t>Self-hosted high-performance email campaign and newsletter manager</t>
        </is>
      </c>
      <c r="F233" s="11" t="inlineStr">
        <is>
          <t>Free (self-host)</t>
        </is>
      </c>
      <c r="G233" s="11" t="inlineStr">
        <is>
          <t>Partial — pair with Claude to draft campaigns</t>
        </is>
      </c>
      <c r="H233" s="11" t="inlineStr">
        <is>
          <t>Free at any scale; fast; API-driven</t>
        </is>
      </c>
      <c r="I233" s="11" t="inlineStr">
        <is>
          <t>Warm-list campaigns, not cold outreach</t>
        </is>
      </c>
      <c r="J233" s="11" t="inlineStr">
        <is>
          <t>Self-hosters sending email campaigns</t>
        </is>
      </c>
      <c r="K233" s="9" t="n">
        <v>5</v>
      </c>
      <c r="L233" s="9" t="n">
        <v>10</v>
      </c>
      <c r="M233" s="9" t="n">
        <v>6</v>
      </c>
      <c r="N233" s="9" t="n">
        <v>7</v>
      </c>
      <c r="O233" s="9" t="n">
        <v>2</v>
      </c>
    </row>
    <row r="234" ht="22" customHeight="1">
      <c r="A234" s="4" t="inlineStr">
        <is>
          <t>AI Marketing &amp; SEO</t>
        </is>
      </c>
    </row>
    <row r="235" ht="58" customHeight="1">
      <c r="A235" s="5">
        <f>IMAGE("https://www.google.com/s2/favicons?domain=semrush.com&amp;sz=64")</f>
        <v/>
      </c>
      <c r="B235" s="6" t="inlineStr">
        <is>
          <t>Semrush</t>
        </is>
      </c>
      <c r="C235" s="7" t="inlineStr">
        <is>
          <t>Paid</t>
        </is>
      </c>
      <c r="D235" s="8" t="inlineStr">
        <is>
          <t>semrush.com</t>
        </is>
      </c>
      <c r="E235" s="7" t="inlineStr">
        <is>
          <t>All-in-one SEO/SEM platform with AI features and ContentShake</t>
        </is>
      </c>
      <c r="F235" s="7" t="inlineStr">
        <is>
          <t>From $139.95/mo</t>
        </is>
      </c>
      <c r="G235" s="7" t="inlineStr">
        <is>
          <t>No</t>
        </is>
      </c>
      <c r="H235" s="7" t="inlineStr">
        <is>
          <t>Deepest SEO dataset; AI content tools</t>
        </is>
      </c>
      <c r="I235" s="7" t="inlineStr">
        <is>
          <t>Expensive; overwhelming</t>
        </is>
      </c>
      <c r="J235" s="7" t="inlineStr">
        <is>
          <t>SEO professionals</t>
        </is>
      </c>
      <c r="K235" s="5" t="n">
        <v>6</v>
      </c>
      <c r="L235" s="5" t="n">
        <v>4</v>
      </c>
      <c r="M235" s="5" t="n">
        <v>9</v>
      </c>
      <c r="N235" s="5" t="n">
        <v>6.3</v>
      </c>
      <c r="O235" s="5" t="n">
        <v>4</v>
      </c>
    </row>
    <row r="236" ht="58" customHeight="1">
      <c r="A236" s="5">
        <f>IMAGE("https://www.google.com/s2/favicons?domain=ahrefs.com&amp;sz=64")</f>
        <v/>
      </c>
      <c r="B236" s="6" t="inlineStr">
        <is>
          <t>Ahrefs</t>
        </is>
      </c>
      <c r="C236" s="7" t="inlineStr">
        <is>
          <t>Paid</t>
        </is>
      </c>
      <c r="D236" s="8" t="inlineStr">
        <is>
          <t>ahrefs.com</t>
        </is>
      </c>
      <c r="E236" s="7" t="inlineStr">
        <is>
          <t>Backlink/keyword research leader with AI content helper</t>
        </is>
      </c>
      <c r="F236" s="7" t="inlineStr">
        <is>
          <t>From $129/mo</t>
        </is>
      </c>
      <c r="G236" s="7" t="inlineStr">
        <is>
          <t>No</t>
        </is>
      </c>
      <c r="H236" s="7" t="inlineStr">
        <is>
          <t>Best link data; clean UX</t>
        </is>
      </c>
      <c r="I236" s="7" t="inlineStr">
        <is>
          <t>No free tier; AI is light</t>
        </is>
      </c>
      <c r="J236" s="7" t="inlineStr">
        <is>
          <t>Link-building and SEO research</t>
        </is>
      </c>
      <c r="K236" s="5" t="n">
        <v>5</v>
      </c>
      <c r="L236" s="5" t="n">
        <v>4</v>
      </c>
      <c r="M236" s="5" t="n">
        <v>9</v>
      </c>
      <c r="N236" s="5" t="n">
        <v>6</v>
      </c>
      <c r="O236" s="5" t="n">
        <v>7</v>
      </c>
    </row>
    <row r="237" ht="58" customHeight="1">
      <c r="A237" s="5">
        <f>IMAGE("https://www.google.com/s2/favicons?domain=surferseo.com&amp;sz=64")</f>
        <v/>
      </c>
      <c r="B237" s="6" t="inlineStr">
        <is>
          <t>Surfer</t>
        </is>
      </c>
      <c r="C237" s="7" t="inlineStr">
        <is>
          <t>Paid</t>
        </is>
      </c>
      <c r="D237" s="8" t="inlineStr">
        <is>
          <t>surferseo.com</t>
        </is>
      </c>
      <c r="E237" s="7" t="inlineStr">
        <is>
          <t>On-page SEO content optimisation with AI writing</t>
        </is>
      </c>
      <c r="F237" s="7" t="inlineStr">
        <is>
          <t>From $89/mo</t>
        </is>
      </c>
      <c r="G237" s="7" t="inlineStr">
        <is>
          <t>No</t>
        </is>
      </c>
      <c r="H237" s="7" t="inlineStr">
        <is>
          <t>Clear data-driven content scores</t>
        </is>
      </c>
      <c r="I237" s="7" t="inlineStr">
        <is>
          <t>Per-article economics; SERP-chasing risk</t>
        </is>
      </c>
      <c r="J237" s="7" t="inlineStr">
        <is>
          <t>Content teams optimising for Google</t>
        </is>
      </c>
      <c r="K237" s="5" t="n">
        <v>5</v>
      </c>
      <c r="L237" s="5" t="n">
        <v>5</v>
      </c>
      <c r="M237" s="5" t="n">
        <v>8</v>
      </c>
      <c r="N237" s="5" t="n">
        <v>6</v>
      </c>
      <c r="O237" s="5" t="n">
        <v>8</v>
      </c>
    </row>
    <row r="238" ht="58" customHeight="1">
      <c r="A238" s="5">
        <f>IMAGE("https://www.google.com/s2/favicons?domain=adcreative.ai&amp;sz=64")</f>
        <v/>
      </c>
      <c r="B238" s="6" t="inlineStr">
        <is>
          <t>AdCreative.ai</t>
        </is>
      </c>
      <c r="C238" s="7" t="inlineStr">
        <is>
          <t>Paid</t>
        </is>
      </c>
      <c r="D238" s="8" t="inlineStr">
        <is>
          <t>adcreative.ai</t>
        </is>
      </c>
      <c r="E238" s="7" t="inlineStr">
        <is>
          <t>AI ad creative and copy generation with performance scoring</t>
        </is>
      </c>
      <c r="F238" s="7" t="inlineStr">
        <is>
          <t>From $25/mo</t>
        </is>
      </c>
      <c r="G238" s="7" t="inlineStr">
        <is>
          <t>No</t>
        </is>
      </c>
      <c r="H238" s="7" t="inlineStr">
        <is>
          <t>Volume ad-variant generation; scoring</t>
        </is>
      </c>
      <c r="I238" s="7" t="inlineStr">
        <is>
          <t>Template look; aggressive billing reputation — check terms</t>
        </is>
      </c>
      <c r="J238" s="7" t="inlineStr">
        <is>
          <t>Performance marketers</t>
        </is>
      </c>
      <c r="K238" s="5" t="n">
        <v>4</v>
      </c>
      <c r="L238" s="5" t="n">
        <v>6</v>
      </c>
      <c r="M238" s="5" t="n">
        <v>6</v>
      </c>
      <c r="N238" s="5" t="n">
        <v>5.3</v>
      </c>
      <c r="O238" s="5" t="n">
        <v>10</v>
      </c>
    </row>
    <row r="239" ht="58" customHeight="1">
      <c r="A239" s="5">
        <f>IMAGE("https://www.google.com/s2/favicons?domain=hootsuite.com&amp;sz=64")</f>
        <v/>
      </c>
      <c r="B239" s="6" t="inlineStr">
        <is>
          <t>Hootsuite</t>
        </is>
      </c>
      <c r="C239" s="7" t="inlineStr">
        <is>
          <t>Paid</t>
        </is>
      </c>
      <c r="D239" s="8" t="inlineStr">
        <is>
          <t>hootsuite.com</t>
        </is>
      </c>
      <c r="E239" s="7" t="inlineStr">
        <is>
          <t>Social media management with OwlyWriter AI</t>
        </is>
      </c>
      <c r="F239" s="7" t="inlineStr">
        <is>
          <t>From $99/mo</t>
        </is>
      </c>
      <c r="G239" s="7" t="inlineStr">
        <is>
          <t>No</t>
        </is>
      </c>
      <c r="H239" s="7" t="inlineStr">
        <is>
          <t>Mature scheduling/listening suite</t>
        </is>
      </c>
      <c r="I239" s="7" t="inlineStr">
        <is>
          <t>Expensive; AI basic</t>
        </is>
      </c>
      <c r="J239" s="7" t="inlineStr">
        <is>
          <t>Social teams managing many accounts</t>
        </is>
      </c>
      <c r="K239" s="5" t="n">
        <v>5</v>
      </c>
      <c r="L239" s="5" t="n">
        <v>4</v>
      </c>
      <c r="M239" s="5" t="n">
        <v>7</v>
      </c>
      <c r="N239" s="5" t="n">
        <v>5.3</v>
      </c>
      <c r="O239" s="5" t="n">
        <v>11</v>
      </c>
    </row>
    <row r="240" ht="58" customHeight="1">
      <c r="A240" s="5">
        <f>IMAGE("https://www.google.com/s2/favicons?domain=buffer.com&amp;sz=64")</f>
        <v/>
      </c>
      <c r="B240" s="6" t="inlineStr">
        <is>
          <t>Buffer</t>
        </is>
      </c>
      <c r="C240" s="7" t="inlineStr">
        <is>
          <t>Freemium</t>
        </is>
      </c>
      <c r="D240" s="8" t="inlineStr">
        <is>
          <t>buffer.com</t>
        </is>
      </c>
      <c r="E240" s="7" t="inlineStr">
        <is>
          <t>Simple social scheduling with AI assistant</t>
        </is>
      </c>
      <c r="F240" s="7" t="inlineStr">
        <is>
          <t>Free; $6/channel/mo</t>
        </is>
      </c>
      <c r="G240" s="7" t="inlineStr">
        <is>
          <t>No</t>
        </is>
      </c>
      <c r="H240" s="7" t="inlineStr">
        <is>
          <t>Affordable; clean; good AI repurposing</t>
        </is>
      </c>
      <c r="I240" s="7" t="inlineStr">
        <is>
          <t>Lighter analytics</t>
        </is>
      </c>
      <c r="J240" s="7" t="inlineStr">
        <is>
          <t>Creators and small brands</t>
        </is>
      </c>
      <c r="K240" s="5" t="n">
        <v>5</v>
      </c>
      <c r="L240" s="5" t="n">
        <v>8</v>
      </c>
      <c r="M240" s="5" t="n">
        <v>6</v>
      </c>
      <c r="N240" s="5" t="n">
        <v>6.3</v>
      </c>
      <c r="O240" s="5" t="n">
        <v>5</v>
      </c>
    </row>
    <row r="241" ht="58" customHeight="1">
      <c r="A241" s="5">
        <f>IMAGE("https://www.google.com/s2/favicons?domain=mailchimp.com&amp;sz=64")</f>
        <v/>
      </c>
      <c r="B241" s="6" t="inlineStr">
        <is>
          <t>Mailchimp</t>
        </is>
      </c>
      <c r="C241" s="7" t="inlineStr">
        <is>
          <t>Freemium</t>
        </is>
      </c>
      <c r="D241" s="8" t="inlineStr">
        <is>
          <t>mailchimp.com</t>
        </is>
      </c>
      <c r="E241" s="7" t="inlineStr">
        <is>
          <t>Email marketing with AI content and journeys</t>
        </is>
      </c>
      <c r="F241" s="7" t="inlineStr">
        <is>
          <t>Free; from $13/mo</t>
        </is>
      </c>
      <c r="G241" s="7" t="inlineStr">
        <is>
          <t>No</t>
        </is>
      </c>
      <c r="H241" s="7" t="inlineStr">
        <is>
          <t>Familiar; AI campaign generation</t>
        </is>
      </c>
      <c r="I241" s="7" t="inlineStr">
        <is>
          <t>Pricing grows with list; CRM-lite</t>
        </is>
      </c>
      <c r="J241" s="7" t="inlineStr">
        <is>
          <t>SMB email marketing</t>
        </is>
      </c>
      <c r="K241" s="5" t="n">
        <v>6</v>
      </c>
      <c r="L241" s="5" t="n">
        <v>6</v>
      </c>
      <c r="M241" s="5" t="n">
        <v>7</v>
      </c>
      <c r="N241" s="5" t="n">
        <v>6.3</v>
      </c>
      <c r="O241" s="5" t="n">
        <v>6</v>
      </c>
    </row>
    <row r="242" ht="58" customHeight="1">
      <c r="A242" s="5">
        <f>IMAGE("https://www.google.com/s2/favicons?domain=trysoro.com&amp;sz=64")</f>
        <v/>
      </c>
      <c r="B242" s="6" t="inlineStr">
        <is>
          <t>Soro</t>
        </is>
      </c>
      <c r="C242" s="7" t="inlineStr">
        <is>
          <t>Paid</t>
        </is>
      </c>
      <c r="D242" s="8" t="inlineStr">
        <is>
          <t>trysoro.com</t>
        </is>
      </c>
      <c r="E242" s="7" t="inlineStr">
        <is>
          <t>SEO autopilot: researches keywords, writes, optimises and auto-publishes articles (WordPress/Shopify/Webflow)</t>
        </is>
      </c>
      <c r="F242" s="7" t="inlineStr">
        <is>
          <t>From $39/mo</t>
        </is>
      </c>
      <c r="G242" s="7" t="inlineStr">
        <is>
          <t>No</t>
        </is>
      </c>
      <c r="H242" s="7" t="inlineStr">
        <is>
          <t>Hands-off SEO content pipeline; cheap</t>
        </is>
      </c>
      <c r="I242" s="7" t="inlineStr">
        <is>
          <t>AI-content quality and Google-policy risk need human review</t>
        </is>
      </c>
      <c r="J242" s="7" t="inlineStr">
        <is>
          <t>Niche-site builders and small ecommerce</t>
        </is>
      </c>
      <c r="K242" s="5" t="n">
        <v>4</v>
      </c>
      <c r="L242" s="5" t="n">
        <v>7</v>
      </c>
      <c r="M242" s="5" t="n">
        <v>6</v>
      </c>
      <c r="N242" s="5" t="n">
        <v>5.7</v>
      </c>
      <c r="O242" s="5" t="n">
        <v>9</v>
      </c>
    </row>
    <row r="243" ht="58" customHeight="1">
      <c r="A243" s="9">
        <f>IMAGE("https://www.google.com/s2/favicons?domain=github.com&amp;sz=64")</f>
        <v/>
      </c>
      <c r="B243" s="10" t="inlineStr">
        <is>
          <t>Mautic</t>
        </is>
      </c>
      <c r="C243" s="11" t="inlineStr">
        <is>
          <t>Open source (GitHub)</t>
        </is>
      </c>
      <c r="D243" s="12" t="inlineStr">
        <is>
          <t>github.com/mautic/mautic</t>
        </is>
      </c>
      <c r="E243" s="11" t="inlineStr">
        <is>
          <t>Open-source marketing automation (email, journeys, segmentation)</t>
        </is>
      </c>
      <c r="F243" s="11" t="inlineStr">
        <is>
          <t>Free (self-host)</t>
        </is>
      </c>
      <c r="G243" s="11" t="inlineStr">
        <is>
          <t>No</t>
        </is>
      </c>
      <c r="H243" s="11" t="inlineStr">
        <is>
          <t>Full marketing automation without per-contact fees</t>
        </is>
      </c>
      <c r="I243" s="11" t="inlineStr">
        <is>
          <t>Self-host complexity; plugins needed</t>
        </is>
      </c>
      <c r="J243" s="11" t="inlineStr">
        <is>
          <t>Companies escaping HubSpot/Marketo pricing</t>
        </is>
      </c>
      <c r="K243" s="9" t="n">
        <v>5</v>
      </c>
      <c r="L243" s="9" t="n">
        <v>10</v>
      </c>
      <c r="M243" s="9" t="n">
        <v>7</v>
      </c>
      <c r="N243" s="9" t="n">
        <v>7.3</v>
      </c>
      <c r="O243" s="9" t="n">
        <v>1</v>
      </c>
    </row>
    <row r="244" ht="58" customHeight="1">
      <c r="A244" s="9">
        <f>IMAGE("https://www.google.com/s2/favicons?domain=github.com&amp;sz=64")</f>
        <v/>
      </c>
      <c r="B244" s="10" t="inlineStr">
        <is>
          <t>Postiz</t>
        </is>
      </c>
      <c r="C244" s="11" t="inlineStr">
        <is>
          <t>Open source (GitHub)</t>
        </is>
      </c>
      <c r="D244" s="12" t="inlineStr">
        <is>
          <t>github.com/gitroomhq/postiz-app</t>
        </is>
      </c>
      <c r="E244" s="11" t="inlineStr">
        <is>
          <t>Open-source AI social media scheduling (Buffer/Hootsuite alternative)</t>
        </is>
      </c>
      <c r="F244" s="11" t="inlineStr">
        <is>
          <t>Free self-host; cloud from $29/mo</t>
        </is>
      </c>
      <c r="G244" s="11" t="inlineStr">
        <is>
          <t>Partial — BYO AI keys</t>
        </is>
      </c>
      <c r="H244" s="11" t="inlineStr">
        <is>
          <t>OSS scheduling for 15+ platforms with AI</t>
        </is>
      </c>
      <c r="I244" s="11" t="inlineStr">
        <is>
          <t>Young project</t>
        </is>
      </c>
      <c r="J244" s="11" t="inlineStr">
        <is>
          <t>Self-hosted social scheduling</t>
        </is>
      </c>
      <c r="K244" s="9" t="n">
        <v>6</v>
      </c>
      <c r="L244" s="9" t="n">
        <v>9</v>
      </c>
      <c r="M244" s="9" t="n">
        <v>6</v>
      </c>
      <c r="N244" s="9" t="n">
        <v>7</v>
      </c>
      <c r="O244" s="9" t="n">
        <v>2</v>
      </c>
    </row>
    <row r="245" ht="58" customHeight="1">
      <c r="A245" s="9">
        <f>IMAGE("https://www.google.com/s2/favicons?domain=github.com&amp;sz=64")</f>
        <v/>
      </c>
      <c r="B245" s="10" t="inlineStr">
        <is>
          <t>Matomo</t>
        </is>
      </c>
      <c r="C245" s="11" t="inlineStr">
        <is>
          <t>Open source (GitHub)</t>
        </is>
      </c>
      <c r="D245" s="12" t="inlineStr">
        <is>
          <t>github.com/matomo-org/matomo</t>
        </is>
      </c>
      <c r="E245" s="11" t="inlineStr">
        <is>
          <t>Open-source web analytics (Google Analytics alternative)</t>
        </is>
      </c>
      <c r="F245" s="11" t="inlineStr">
        <is>
          <t>Free self-host; cloud from $23/mo</t>
        </is>
      </c>
      <c r="G245" s="11" t="inlineStr">
        <is>
          <t>No</t>
        </is>
      </c>
      <c r="H245" s="11" t="inlineStr">
        <is>
          <t>Privacy-compliant analytics you own</t>
        </is>
      </c>
      <c r="I245" s="11" t="inlineStr">
        <is>
          <t>No AI insights layer yet</t>
        </is>
      </c>
      <c r="J245" s="11" t="inlineStr">
        <is>
          <t>Privacy-first site analytics</t>
        </is>
      </c>
      <c r="K245" s="9" t="n">
        <v>4</v>
      </c>
      <c r="L245" s="9" t="n">
        <v>9</v>
      </c>
      <c r="M245" s="9" t="n">
        <v>7</v>
      </c>
      <c r="N245" s="9" t="n">
        <v>6.7</v>
      </c>
      <c r="O245" s="9" t="n">
        <v>3</v>
      </c>
    </row>
    <row r="246" ht="22" customHeight="1">
      <c r="A246" s="4" t="inlineStr">
        <is>
          <t>AI Research Tools</t>
        </is>
      </c>
    </row>
    <row r="247" ht="58" customHeight="1">
      <c r="A247" s="5">
        <f>IMAGE("https://www.google.com/s2/favicons?domain=elicit.com&amp;sz=64")</f>
        <v/>
      </c>
      <c r="B247" s="6" t="inlineStr">
        <is>
          <t>Elicit</t>
        </is>
      </c>
      <c r="C247" s="7" t="inlineStr">
        <is>
          <t>Freemium</t>
        </is>
      </c>
      <c r="D247" s="8" t="inlineStr">
        <is>
          <t>elicit.com</t>
        </is>
      </c>
      <c r="E247" s="7" t="inlineStr">
        <is>
          <t>AI research assistant that searches and summarises academic papers</t>
        </is>
      </c>
      <c r="F247" s="7" t="inlineStr">
        <is>
          <t>Free; Plus $12/mo</t>
        </is>
      </c>
      <c r="G247" s="7" t="inlineStr">
        <is>
          <t>No — (Anthropic models used under the hood historically)</t>
        </is>
      </c>
      <c r="H247" s="7" t="inlineStr">
        <is>
          <t>Systematic-review-grade extraction tables</t>
        </is>
      </c>
      <c r="I247" s="7" t="inlineStr">
        <is>
          <t>Academic papers only</t>
        </is>
      </c>
      <c r="J247" s="7" t="inlineStr">
        <is>
          <t>Researchers and grad students</t>
        </is>
      </c>
      <c r="K247" s="5" t="n">
        <v>5</v>
      </c>
      <c r="L247" s="5" t="n">
        <v>7</v>
      </c>
      <c r="M247" s="5" t="n">
        <v>8</v>
      </c>
      <c r="N247" s="5" t="n">
        <v>6.7</v>
      </c>
      <c r="O247" s="5" t="n">
        <v>2</v>
      </c>
    </row>
    <row r="248" ht="58" customHeight="1">
      <c r="A248" s="5">
        <f>IMAGE("https://www.google.com/s2/favicons?domain=consensus.app&amp;sz=64")</f>
        <v/>
      </c>
      <c r="B248" s="6" t="inlineStr">
        <is>
          <t>Consensus</t>
        </is>
      </c>
      <c r="C248" s="7" t="inlineStr">
        <is>
          <t>Freemium</t>
        </is>
      </c>
      <c r="D248" s="8" t="inlineStr">
        <is>
          <t>consensus.app</t>
        </is>
      </c>
      <c r="E248" s="7" t="inlineStr">
        <is>
          <t>Search engine answering questions from peer-reviewed evidence</t>
        </is>
      </c>
      <c r="F248" s="7" t="inlineStr">
        <is>
          <t>Free; Premium $11.99/mo</t>
        </is>
      </c>
      <c r="G248" s="7" t="inlineStr">
        <is>
          <t>No</t>
        </is>
      </c>
      <c r="H248" s="7" t="inlineStr">
        <is>
          <t>Evidence meters; citation-grounded answers</t>
        </is>
      </c>
      <c r="I248" s="7" t="inlineStr">
        <is>
          <t>Narrower than general search</t>
        </is>
      </c>
      <c r="J248" s="7" t="inlineStr">
        <is>
          <t>Evidence-based professionals</t>
        </is>
      </c>
      <c r="K248" s="5" t="n">
        <v>4</v>
      </c>
      <c r="L248" s="5" t="n">
        <v>7</v>
      </c>
      <c r="M248" s="5" t="n">
        <v>7</v>
      </c>
      <c r="N248" s="5" t="n">
        <v>6</v>
      </c>
      <c r="O248" s="5" t="n">
        <v>4</v>
      </c>
    </row>
    <row r="249" ht="58" customHeight="1">
      <c r="A249" s="5">
        <f>IMAGE("https://www.google.com/s2/favicons?domain=scispace.com&amp;sz=64")</f>
        <v/>
      </c>
      <c r="B249" s="6" t="inlineStr">
        <is>
          <t>SciSpace</t>
        </is>
      </c>
      <c r="C249" s="7" t="inlineStr">
        <is>
          <t>Freemium</t>
        </is>
      </c>
      <c r="D249" s="8" t="inlineStr">
        <is>
          <t>scispace.com</t>
        </is>
      </c>
      <c r="E249" s="7" t="inlineStr">
        <is>
          <t>Read, annotate and chat with research PDFs; literature review AI</t>
        </is>
      </c>
      <c r="F249" s="7" t="inlineStr">
        <is>
          <t>Free; from $12/mo</t>
        </is>
      </c>
      <c r="G249" s="7" t="inlineStr">
        <is>
          <t>No</t>
        </is>
      </c>
      <c r="H249" s="7" t="inlineStr">
        <is>
          <t>Great PDF explanation UX</t>
        </is>
      </c>
      <c r="I249" s="7" t="inlineStr">
        <is>
          <t>Aggressive upsells</t>
        </is>
      </c>
      <c r="J249" s="7" t="inlineStr">
        <is>
          <t>Students decoding dense papers</t>
        </is>
      </c>
      <c r="K249" s="5" t="n">
        <v>4</v>
      </c>
      <c r="L249" s="5" t="n">
        <v>7</v>
      </c>
      <c r="M249" s="5" t="n">
        <v>6</v>
      </c>
      <c r="N249" s="5" t="n">
        <v>5.7</v>
      </c>
      <c r="O249" s="5" t="n">
        <v>5</v>
      </c>
    </row>
    <row r="250" ht="58" customHeight="1">
      <c r="A250" s="9">
        <f>IMAGE("https://www.google.com/s2/favicons?domain=github.com&amp;sz=64")</f>
        <v/>
      </c>
      <c r="B250" s="10" t="inlineStr">
        <is>
          <t>GPT Researcher</t>
        </is>
      </c>
      <c r="C250" s="11" t="inlineStr">
        <is>
          <t>Open source (GitHub)</t>
        </is>
      </c>
      <c r="D250" s="12" t="inlineStr">
        <is>
          <t>github.com/assafelovic/gpt-researcher</t>
        </is>
      </c>
      <c r="E250" s="11" t="inlineStr">
        <is>
          <t>Open-source autonomous deep-research agent producing cited reports</t>
        </is>
      </c>
      <c r="F250" s="11" t="inlineStr">
        <is>
          <t>Free + API costs</t>
        </is>
      </c>
      <c r="G250" s="11" t="inlineStr">
        <is>
          <t>Yes — supports Anthropic/Claude as the LLM</t>
        </is>
      </c>
      <c r="H250" s="11" t="inlineStr">
        <is>
          <t>Free deep-research with citations; local &amp; web</t>
        </is>
      </c>
      <c r="I250" s="11" t="inlineStr">
        <is>
          <t>Setup + API keys; report quality varies by model</t>
        </is>
      </c>
      <c r="J250" s="11" t="inlineStr">
        <is>
          <t>Developers automating research</t>
        </is>
      </c>
      <c r="K250" s="9" t="n">
        <v>7</v>
      </c>
      <c r="L250" s="9" t="n">
        <v>9</v>
      </c>
      <c r="M250" s="9" t="n">
        <v>7</v>
      </c>
      <c r="N250" s="9" t="n">
        <v>7.7</v>
      </c>
      <c r="O250" s="9" t="n">
        <v>1</v>
      </c>
    </row>
    <row r="251" ht="58" customHeight="1">
      <c r="A251" s="9">
        <f>IMAGE("https://www.google.com/s2/favicons?domain=github.com&amp;sz=64")</f>
        <v/>
      </c>
      <c r="B251" s="10" t="inlineStr">
        <is>
          <t>STORM</t>
        </is>
      </c>
      <c r="C251" s="11" t="inlineStr">
        <is>
          <t>Open source (GitHub)</t>
        </is>
      </c>
      <c r="D251" s="12" t="inlineStr">
        <is>
          <t>github.com/stanford-oval/storm</t>
        </is>
      </c>
      <c r="E251" s="11" t="inlineStr">
        <is>
          <t>Stanford's open-source Wikipedia-style article research/writing system</t>
        </is>
      </c>
      <c r="F251" s="11" t="inlineStr">
        <is>
          <t>Free + API costs</t>
        </is>
      </c>
      <c r="G251" s="11" t="inlineStr">
        <is>
          <t>Yes — configurable to Claude models</t>
        </is>
      </c>
      <c r="H251" s="11" t="inlineStr">
        <is>
          <t>Research-grade outline→article pipeline</t>
        </is>
      </c>
      <c r="I251" s="11" t="inlineStr">
        <is>
          <t>Academic tool; rough edges</t>
        </is>
      </c>
      <c r="J251" s="11" t="inlineStr">
        <is>
          <t>Long-form grounded content experiments</t>
        </is>
      </c>
      <c r="K251" s="9" t="n">
        <v>5</v>
      </c>
      <c r="L251" s="9" t="n">
        <v>9</v>
      </c>
      <c r="M251" s="9" t="n">
        <v>6</v>
      </c>
      <c r="N251" s="9" t="n">
        <v>6.7</v>
      </c>
      <c r="O251" s="9" t="n">
        <v>3</v>
      </c>
    </row>
  </sheetData>
  <mergeCells count="19">
    <mergeCell ref="A46:O46"/>
    <mergeCell ref="A208:O208"/>
    <mergeCell ref="A246:O246"/>
    <mergeCell ref="A101:O101"/>
    <mergeCell ref="A136:O136"/>
    <mergeCell ref="A154:O154"/>
    <mergeCell ref="A2:O2"/>
    <mergeCell ref="A234:O234"/>
    <mergeCell ref="A144:O144"/>
    <mergeCell ref="A122:O122"/>
    <mergeCell ref="A165:O165"/>
    <mergeCell ref="A112:O112"/>
    <mergeCell ref="A34:O34"/>
    <mergeCell ref="A176:O176"/>
    <mergeCell ref="A15:O15"/>
    <mergeCell ref="A59:O59"/>
    <mergeCell ref="A191:O191"/>
    <mergeCell ref="A88:O88"/>
    <mergeCell ref="A78:O7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60" r:id="rId54"/>
    <hyperlink xmlns:r="http://schemas.openxmlformats.org/officeDocument/2006/relationships" ref="D61" r:id="rId55"/>
    <hyperlink xmlns:r="http://schemas.openxmlformats.org/officeDocument/2006/relationships" ref="D62" r:id="rId56"/>
    <hyperlink xmlns:r="http://schemas.openxmlformats.org/officeDocument/2006/relationships" ref="D63" r:id="rId57"/>
    <hyperlink xmlns:r="http://schemas.openxmlformats.org/officeDocument/2006/relationships" ref="D64" r:id="rId58"/>
    <hyperlink xmlns:r="http://schemas.openxmlformats.org/officeDocument/2006/relationships" ref="D65" r:id="rId59"/>
    <hyperlink xmlns:r="http://schemas.openxmlformats.org/officeDocument/2006/relationships" ref="D66" r:id="rId60"/>
    <hyperlink xmlns:r="http://schemas.openxmlformats.org/officeDocument/2006/relationships" ref="D67" r:id="rId61"/>
    <hyperlink xmlns:r="http://schemas.openxmlformats.org/officeDocument/2006/relationships" ref="D68" r:id="rId62"/>
    <hyperlink xmlns:r="http://schemas.openxmlformats.org/officeDocument/2006/relationships" ref="D69" r:id="rId63"/>
    <hyperlink xmlns:r="http://schemas.openxmlformats.org/officeDocument/2006/relationships" ref="D70" r:id="rId64"/>
    <hyperlink xmlns:r="http://schemas.openxmlformats.org/officeDocument/2006/relationships" ref="D71" r:id="rId65"/>
    <hyperlink xmlns:r="http://schemas.openxmlformats.org/officeDocument/2006/relationships" ref="D72" r:id="rId66"/>
    <hyperlink xmlns:r="http://schemas.openxmlformats.org/officeDocument/2006/relationships" ref="D73" r:id="rId67"/>
    <hyperlink xmlns:r="http://schemas.openxmlformats.org/officeDocument/2006/relationships" ref="D74" r:id="rId68"/>
    <hyperlink xmlns:r="http://schemas.openxmlformats.org/officeDocument/2006/relationships" ref="D75" r:id="rId69"/>
    <hyperlink xmlns:r="http://schemas.openxmlformats.org/officeDocument/2006/relationships" ref="D76" r:id="rId70"/>
    <hyperlink xmlns:r="http://schemas.openxmlformats.org/officeDocument/2006/relationships" ref="D77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9" r:id="rId81"/>
    <hyperlink xmlns:r="http://schemas.openxmlformats.org/officeDocument/2006/relationships" ref="D90" r:id="rId82"/>
    <hyperlink xmlns:r="http://schemas.openxmlformats.org/officeDocument/2006/relationships" ref="D91" r:id="rId83"/>
    <hyperlink xmlns:r="http://schemas.openxmlformats.org/officeDocument/2006/relationships" ref="D92" r:id="rId84"/>
    <hyperlink xmlns:r="http://schemas.openxmlformats.org/officeDocument/2006/relationships" ref="D93" r:id="rId85"/>
    <hyperlink xmlns:r="http://schemas.openxmlformats.org/officeDocument/2006/relationships" ref="D94" r:id="rId86"/>
    <hyperlink xmlns:r="http://schemas.openxmlformats.org/officeDocument/2006/relationships" ref="D95" r:id="rId87"/>
    <hyperlink xmlns:r="http://schemas.openxmlformats.org/officeDocument/2006/relationships" ref="D96" r:id="rId88"/>
    <hyperlink xmlns:r="http://schemas.openxmlformats.org/officeDocument/2006/relationships" ref="D97" r:id="rId89"/>
    <hyperlink xmlns:r="http://schemas.openxmlformats.org/officeDocument/2006/relationships" ref="D98" r:id="rId90"/>
    <hyperlink xmlns:r="http://schemas.openxmlformats.org/officeDocument/2006/relationships" ref="D99" r:id="rId91"/>
    <hyperlink xmlns:r="http://schemas.openxmlformats.org/officeDocument/2006/relationships" ref="D100" r:id="rId92"/>
    <hyperlink xmlns:r="http://schemas.openxmlformats.org/officeDocument/2006/relationships" ref="D102" r:id="rId93"/>
    <hyperlink xmlns:r="http://schemas.openxmlformats.org/officeDocument/2006/relationships" ref="D103" r:id="rId94"/>
    <hyperlink xmlns:r="http://schemas.openxmlformats.org/officeDocument/2006/relationships" ref="D104" r:id="rId95"/>
    <hyperlink xmlns:r="http://schemas.openxmlformats.org/officeDocument/2006/relationships" ref="D105" r:id="rId96"/>
    <hyperlink xmlns:r="http://schemas.openxmlformats.org/officeDocument/2006/relationships" ref="D106" r:id="rId97"/>
    <hyperlink xmlns:r="http://schemas.openxmlformats.org/officeDocument/2006/relationships" ref="D107" r:id="rId98"/>
    <hyperlink xmlns:r="http://schemas.openxmlformats.org/officeDocument/2006/relationships" ref="D108" r:id="rId99"/>
    <hyperlink xmlns:r="http://schemas.openxmlformats.org/officeDocument/2006/relationships" ref="D109" r:id="rId100"/>
    <hyperlink xmlns:r="http://schemas.openxmlformats.org/officeDocument/2006/relationships" ref="D110" r:id="rId101"/>
    <hyperlink xmlns:r="http://schemas.openxmlformats.org/officeDocument/2006/relationships" ref="D111" r:id="rId102"/>
    <hyperlink xmlns:r="http://schemas.openxmlformats.org/officeDocument/2006/relationships" ref="D113" r:id="rId103"/>
    <hyperlink xmlns:r="http://schemas.openxmlformats.org/officeDocument/2006/relationships" ref="D114" r:id="rId104"/>
    <hyperlink xmlns:r="http://schemas.openxmlformats.org/officeDocument/2006/relationships" ref="D115" r:id="rId105"/>
    <hyperlink xmlns:r="http://schemas.openxmlformats.org/officeDocument/2006/relationships" ref="D116" r:id="rId106"/>
    <hyperlink xmlns:r="http://schemas.openxmlformats.org/officeDocument/2006/relationships" ref="D117" r:id="rId107"/>
    <hyperlink xmlns:r="http://schemas.openxmlformats.org/officeDocument/2006/relationships" ref="D118" r:id="rId108"/>
    <hyperlink xmlns:r="http://schemas.openxmlformats.org/officeDocument/2006/relationships" ref="D119" r:id="rId109"/>
    <hyperlink xmlns:r="http://schemas.openxmlformats.org/officeDocument/2006/relationships" ref="D120" r:id="rId110"/>
    <hyperlink xmlns:r="http://schemas.openxmlformats.org/officeDocument/2006/relationships" ref="D121" r:id="rId111"/>
    <hyperlink xmlns:r="http://schemas.openxmlformats.org/officeDocument/2006/relationships" ref="D123" r:id="rId112"/>
    <hyperlink xmlns:r="http://schemas.openxmlformats.org/officeDocument/2006/relationships" ref="D124" r:id="rId113"/>
    <hyperlink xmlns:r="http://schemas.openxmlformats.org/officeDocument/2006/relationships" ref="D125" r:id="rId114"/>
    <hyperlink xmlns:r="http://schemas.openxmlformats.org/officeDocument/2006/relationships" ref="D126" r:id="rId115"/>
    <hyperlink xmlns:r="http://schemas.openxmlformats.org/officeDocument/2006/relationships" ref="D127" r:id="rId116"/>
    <hyperlink xmlns:r="http://schemas.openxmlformats.org/officeDocument/2006/relationships" ref="D128" r:id="rId117"/>
    <hyperlink xmlns:r="http://schemas.openxmlformats.org/officeDocument/2006/relationships" ref="D129" r:id="rId118"/>
    <hyperlink xmlns:r="http://schemas.openxmlformats.org/officeDocument/2006/relationships" ref="D130" r:id="rId119"/>
    <hyperlink xmlns:r="http://schemas.openxmlformats.org/officeDocument/2006/relationships" ref="D131" r:id="rId120"/>
    <hyperlink xmlns:r="http://schemas.openxmlformats.org/officeDocument/2006/relationships" ref="D132" r:id="rId121"/>
    <hyperlink xmlns:r="http://schemas.openxmlformats.org/officeDocument/2006/relationships" ref="D133" r:id="rId122"/>
    <hyperlink xmlns:r="http://schemas.openxmlformats.org/officeDocument/2006/relationships" ref="D134" r:id="rId123"/>
    <hyperlink xmlns:r="http://schemas.openxmlformats.org/officeDocument/2006/relationships" ref="D135" r:id="rId124"/>
    <hyperlink xmlns:r="http://schemas.openxmlformats.org/officeDocument/2006/relationships" ref="D137" r:id="rId125"/>
    <hyperlink xmlns:r="http://schemas.openxmlformats.org/officeDocument/2006/relationships" ref="D138" r:id="rId126"/>
    <hyperlink xmlns:r="http://schemas.openxmlformats.org/officeDocument/2006/relationships" ref="D139" r:id="rId127"/>
    <hyperlink xmlns:r="http://schemas.openxmlformats.org/officeDocument/2006/relationships" ref="D140" r:id="rId128"/>
    <hyperlink xmlns:r="http://schemas.openxmlformats.org/officeDocument/2006/relationships" ref="D141" r:id="rId129"/>
    <hyperlink xmlns:r="http://schemas.openxmlformats.org/officeDocument/2006/relationships" ref="D142" r:id="rId130"/>
    <hyperlink xmlns:r="http://schemas.openxmlformats.org/officeDocument/2006/relationships" ref="D143" r:id="rId131"/>
    <hyperlink xmlns:r="http://schemas.openxmlformats.org/officeDocument/2006/relationships" ref="D145" r:id="rId132"/>
    <hyperlink xmlns:r="http://schemas.openxmlformats.org/officeDocument/2006/relationships" ref="D146" r:id="rId133"/>
    <hyperlink xmlns:r="http://schemas.openxmlformats.org/officeDocument/2006/relationships" ref="D147" r:id="rId134"/>
    <hyperlink xmlns:r="http://schemas.openxmlformats.org/officeDocument/2006/relationships" ref="D148" r:id="rId135"/>
    <hyperlink xmlns:r="http://schemas.openxmlformats.org/officeDocument/2006/relationships" ref="D149" r:id="rId136"/>
    <hyperlink xmlns:r="http://schemas.openxmlformats.org/officeDocument/2006/relationships" ref="D150" r:id="rId137"/>
    <hyperlink xmlns:r="http://schemas.openxmlformats.org/officeDocument/2006/relationships" ref="D151" r:id="rId138"/>
    <hyperlink xmlns:r="http://schemas.openxmlformats.org/officeDocument/2006/relationships" ref="D152" r:id="rId139"/>
    <hyperlink xmlns:r="http://schemas.openxmlformats.org/officeDocument/2006/relationships" ref="D153" r:id="rId140"/>
    <hyperlink xmlns:r="http://schemas.openxmlformats.org/officeDocument/2006/relationships" ref="D155" r:id="rId141"/>
    <hyperlink xmlns:r="http://schemas.openxmlformats.org/officeDocument/2006/relationships" ref="D156" r:id="rId142"/>
    <hyperlink xmlns:r="http://schemas.openxmlformats.org/officeDocument/2006/relationships" ref="D157" r:id="rId143"/>
    <hyperlink xmlns:r="http://schemas.openxmlformats.org/officeDocument/2006/relationships" ref="D158" r:id="rId144"/>
    <hyperlink xmlns:r="http://schemas.openxmlformats.org/officeDocument/2006/relationships" ref="D159" r:id="rId145"/>
    <hyperlink xmlns:r="http://schemas.openxmlformats.org/officeDocument/2006/relationships" ref="D160" r:id="rId146"/>
    <hyperlink xmlns:r="http://schemas.openxmlformats.org/officeDocument/2006/relationships" ref="D161" r:id="rId147"/>
    <hyperlink xmlns:r="http://schemas.openxmlformats.org/officeDocument/2006/relationships" ref="D162" r:id="rId148"/>
    <hyperlink xmlns:r="http://schemas.openxmlformats.org/officeDocument/2006/relationships" ref="D163" r:id="rId149"/>
    <hyperlink xmlns:r="http://schemas.openxmlformats.org/officeDocument/2006/relationships" ref="D164" r:id="rId150"/>
    <hyperlink xmlns:r="http://schemas.openxmlformats.org/officeDocument/2006/relationships" ref="D166" r:id="rId151"/>
    <hyperlink xmlns:r="http://schemas.openxmlformats.org/officeDocument/2006/relationships" ref="D167" r:id="rId152"/>
    <hyperlink xmlns:r="http://schemas.openxmlformats.org/officeDocument/2006/relationships" ref="D168" r:id="rId153"/>
    <hyperlink xmlns:r="http://schemas.openxmlformats.org/officeDocument/2006/relationships" ref="D169" r:id="rId154"/>
    <hyperlink xmlns:r="http://schemas.openxmlformats.org/officeDocument/2006/relationships" ref="D170" r:id="rId155"/>
    <hyperlink xmlns:r="http://schemas.openxmlformats.org/officeDocument/2006/relationships" ref="D171" r:id="rId156"/>
    <hyperlink xmlns:r="http://schemas.openxmlformats.org/officeDocument/2006/relationships" ref="D172" r:id="rId157"/>
    <hyperlink xmlns:r="http://schemas.openxmlformats.org/officeDocument/2006/relationships" ref="D173" r:id="rId158"/>
    <hyperlink xmlns:r="http://schemas.openxmlformats.org/officeDocument/2006/relationships" ref="D174" r:id="rId159"/>
    <hyperlink xmlns:r="http://schemas.openxmlformats.org/officeDocument/2006/relationships" ref="D175" r:id="rId160"/>
    <hyperlink xmlns:r="http://schemas.openxmlformats.org/officeDocument/2006/relationships" ref="D177" r:id="rId161"/>
    <hyperlink xmlns:r="http://schemas.openxmlformats.org/officeDocument/2006/relationships" ref="D178" r:id="rId162"/>
    <hyperlink xmlns:r="http://schemas.openxmlformats.org/officeDocument/2006/relationships" ref="D179" r:id="rId163"/>
    <hyperlink xmlns:r="http://schemas.openxmlformats.org/officeDocument/2006/relationships" ref="D180" r:id="rId164"/>
    <hyperlink xmlns:r="http://schemas.openxmlformats.org/officeDocument/2006/relationships" ref="D181" r:id="rId165"/>
    <hyperlink xmlns:r="http://schemas.openxmlformats.org/officeDocument/2006/relationships" ref="D182" r:id="rId166"/>
    <hyperlink xmlns:r="http://schemas.openxmlformats.org/officeDocument/2006/relationships" ref="D183" r:id="rId167"/>
    <hyperlink xmlns:r="http://schemas.openxmlformats.org/officeDocument/2006/relationships" ref="D184" r:id="rId168"/>
    <hyperlink xmlns:r="http://schemas.openxmlformats.org/officeDocument/2006/relationships" ref="D185" r:id="rId169"/>
    <hyperlink xmlns:r="http://schemas.openxmlformats.org/officeDocument/2006/relationships" ref="D186" r:id="rId170"/>
    <hyperlink xmlns:r="http://schemas.openxmlformats.org/officeDocument/2006/relationships" ref="D187" r:id="rId171"/>
    <hyperlink xmlns:r="http://schemas.openxmlformats.org/officeDocument/2006/relationships" ref="D188" r:id="rId172"/>
    <hyperlink xmlns:r="http://schemas.openxmlformats.org/officeDocument/2006/relationships" ref="D189" r:id="rId173"/>
    <hyperlink xmlns:r="http://schemas.openxmlformats.org/officeDocument/2006/relationships" ref="D190" r:id="rId174"/>
    <hyperlink xmlns:r="http://schemas.openxmlformats.org/officeDocument/2006/relationships" ref="D192" r:id="rId175"/>
    <hyperlink xmlns:r="http://schemas.openxmlformats.org/officeDocument/2006/relationships" ref="D193" r:id="rId176"/>
    <hyperlink xmlns:r="http://schemas.openxmlformats.org/officeDocument/2006/relationships" ref="D194" r:id="rId177"/>
    <hyperlink xmlns:r="http://schemas.openxmlformats.org/officeDocument/2006/relationships" ref="D195" r:id="rId178"/>
    <hyperlink xmlns:r="http://schemas.openxmlformats.org/officeDocument/2006/relationships" ref="D196" r:id="rId179"/>
    <hyperlink xmlns:r="http://schemas.openxmlformats.org/officeDocument/2006/relationships" ref="D197" r:id="rId180"/>
    <hyperlink xmlns:r="http://schemas.openxmlformats.org/officeDocument/2006/relationships" ref="D198" r:id="rId181"/>
    <hyperlink xmlns:r="http://schemas.openxmlformats.org/officeDocument/2006/relationships" ref="D199" r:id="rId182"/>
    <hyperlink xmlns:r="http://schemas.openxmlformats.org/officeDocument/2006/relationships" ref="D200" r:id="rId183"/>
    <hyperlink xmlns:r="http://schemas.openxmlformats.org/officeDocument/2006/relationships" ref="D201" r:id="rId184"/>
    <hyperlink xmlns:r="http://schemas.openxmlformats.org/officeDocument/2006/relationships" ref="D202" r:id="rId185"/>
    <hyperlink xmlns:r="http://schemas.openxmlformats.org/officeDocument/2006/relationships" ref="D203" r:id="rId186"/>
    <hyperlink xmlns:r="http://schemas.openxmlformats.org/officeDocument/2006/relationships" ref="D204" r:id="rId187"/>
    <hyperlink xmlns:r="http://schemas.openxmlformats.org/officeDocument/2006/relationships" ref="D205" r:id="rId188"/>
    <hyperlink xmlns:r="http://schemas.openxmlformats.org/officeDocument/2006/relationships" ref="D206" r:id="rId189"/>
    <hyperlink xmlns:r="http://schemas.openxmlformats.org/officeDocument/2006/relationships" ref="D207" r:id="rId190"/>
    <hyperlink xmlns:r="http://schemas.openxmlformats.org/officeDocument/2006/relationships" ref="D209" r:id="rId191"/>
    <hyperlink xmlns:r="http://schemas.openxmlformats.org/officeDocument/2006/relationships" ref="D210" r:id="rId192"/>
    <hyperlink xmlns:r="http://schemas.openxmlformats.org/officeDocument/2006/relationships" ref="D211" r:id="rId193"/>
    <hyperlink xmlns:r="http://schemas.openxmlformats.org/officeDocument/2006/relationships" ref="D212" r:id="rId194"/>
    <hyperlink xmlns:r="http://schemas.openxmlformats.org/officeDocument/2006/relationships" ref="D213" r:id="rId195"/>
    <hyperlink xmlns:r="http://schemas.openxmlformats.org/officeDocument/2006/relationships" ref="D214" r:id="rId196"/>
    <hyperlink xmlns:r="http://schemas.openxmlformats.org/officeDocument/2006/relationships" ref="D215" r:id="rId197"/>
    <hyperlink xmlns:r="http://schemas.openxmlformats.org/officeDocument/2006/relationships" ref="D216" r:id="rId198"/>
    <hyperlink xmlns:r="http://schemas.openxmlformats.org/officeDocument/2006/relationships" ref="D217" r:id="rId199"/>
    <hyperlink xmlns:r="http://schemas.openxmlformats.org/officeDocument/2006/relationships" ref="D218" r:id="rId200"/>
    <hyperlink xmlns:r="http://schemas.openxmlformats.org/officeDocument/2006/relationships" ref="D219" r:id="rId201"/>
    <hyperlink xmlns:r="http://schemas.openxmlformats.org/officeDocument/2006/relationships" ref="D220" r:id="rId202"/>
    <hyperlink xmlns:r="http://schemas.openxmlformats.org/officeDocument/2006/relationships" ref="D221" r:id="rId203"/>
    <hyperlink xmlns:r="http://schemas.openxmlformats.org/officeDocument/2006/relationships" ref="D222" r:id="rId204"/>
    <hyperlink xmlns:r="http://schemas.openxmlformats.org/officeDocument/2006/relationships" ref="D223" r:id="rId205"/>
    <hyperlink xmlns:r="http://schemas.openxmlformats.org/officeDocument/2006/relationships" ref="D224" r:id="rId206"/>
    <hyperlink xmlns:r="http://schemas.openxmlformats.org/officeDocument/2006/relationships" ref="D225" r:id="rId207"/>
    <hyperlink xmlns:r="http://schemas.openxmlformats.org/officeDocument/2006/relationships" ref="D226" r:id="rId208"/>
    <hyperlink xmlns:r="http://schemas.openxmlformats.org/officeDocument/2006/relationships" ref="D227" r:id="rId209"/>
    <hyperlink xmlns:r="http://schemas.openxmlformats.org/officeDocument/2006/relationships" ref="D228" r:id="rId210"/>
    <hyperlink xmlns:r="http://schemas.openxmlformats.org/officeDocument/2006/relationships" ref="D229" r:id="rId211"/>
    <hyperlink xmlns:r="http://schemas.openxmlformats.org/officeDocument/2006/relationships" ref="D230" r:id="rId212"/>
    <hyperlink xmlns:r="http://schemas.openxmlformats.org/officeDocument/2006/relationships" ref="D231" r:id="rId213"/>
    <hyperlink xmlns:r="http://schemas.openxmlformats.org/officeDocument/2006/relationships" ref="D232" r:id="rId214"/>
    <hyperlink xmlns:r="http://schemas.openxmlformats.org/officeDocument/2006/relationships" ref="D233" r:id="rId215"/>
    <hyperlink xmlns:r="http://schemas.openxmlformats.org/officeDocument/2006/relationships" ref="D235" r:id="rId216"/>
    <hyperlink xmlns:r="http://schemas.openxmlformats.org/officeDocument/2006/relationships" ref="D236" r:id="rId217"/>
    <hyperlink xmlns:r="http://schemas.openxmlformats.org/officeDocument/2006/relationships" ref="D237" r:id="rId218"/>
    <hyperlink xmlns:r="http://schemas.openxmlformats.org/officeDocument/2006/relationships" ref="D238" r:id="rId219"/>
    <hyperlink xmlns:r="http://schemas.openxmlformats.org/officeDocument/2006/relationships" ref="D239" r:id="rId220"/>
    <hyperlink xmlns:r="http://schemas.openxmlformats.org/officeDocument/2006/relationships" ref="D240" r:id="rId221"/>
    <hyperlink xmlns:r="http://schemas.openxmlformats.org/officeDocument/2006/relationships" ref="D241" r:id="rId222"/>
    <hyperlink xmlns:r="http://schemas.openxmlformats.org/officeDocument/2006/relationships" ref="D242" r:id="rId223"/>
    <hyperlink xmlns:r="http://schemas.openxmlformats.org/officeDocument/2006/relationships" ref="D243" r:id="rId224"/>
    <hyperlink xmlns:r="http://schemas.openxmlformats.org/officeDocument/2006/relationships" ref="D244" r:id="rId225"/>
    <hyperlink xmlns:r="http://schemas.openxmlformats.org/officeDocument/2006/relationships" ref="D245" r:id="rId226"/>
    <hyperlink xmlns:r="http://schemas.openxmlformats.org/officeDocument/2006/relationships" ref="D247" r:id="rId227"/>
    <hyperlink xmlns:r="http://schemas.openxmlformats.org/officeDocument/2006/relationships" ref="D248" r:id="rId228"/>
    <hyperlink xmlns:r="http://schemas.openxmlformats.org/officeDocument/2006/relationships" ref="D249" r:id="rId229"/>
    <hyperlink xmlns:r="http://schemas.openxmlformats.org/officeDocument/2006/relationships" ref="D250" r:id="rId230"/>
    <hyperlink xmlns:r="http://schemas.openxmlformats.org/officeDocument/2006/relationships" ref="D251" r:id="rId2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38" customWidth="1" min="5" max="5"/>
  </cols>
  <sheetData>
    <row r="1">
      <c r="A1" s="13" t="inlineStr">
        <is>
          <t>Category</t>
        </is>
      </c>
      <c r="B1" s="13" t="inlineStr">
        <is>
          <t>#1</t>
        </is>
      </c>
      <c r="C1" s="13" t="inlineStr">
        <is>
          <t>#2</t>
        </is>
      </c>
      <c r="D1" s="13" t="inlineStr">
        <is>
          <t>#3</t>
        </is>
      </c>
      <c r="E1" s="13" t="inlineStr">
        <is>
          <t>Best free / open-source option</t>
        </is>
      </c>
    </row>
    <row r="2">
      <c r="A2" s="14" t="inlineStr">
        <is>
          <t>AI Chatbots &amp; Assistants</t>
        </is>
      </c>
      <c r="B2" s="15" t="inlineStr">
        <is>
          <t>Claude</t>
        </is>
      </c>
      <c r="C2" s="15" t="inlineStr">
        <is>
          <t>Open WebUI</t>
        </is>
      </c>
      <c r="D2" s="15" t="inlineStr">
        <is>
          <t>LibreChat</t>
        </is>
      </c>
      <c r="E2" s="16" t="inlineStr">
        <is>
          <t>Open WebUI</t>
        </is>
      </c>
    </row>
    <row r="3">
      <c r="A3" s="14" t="inlineStr">
        <is>
          <t>AI Coding Assistants</t>
        </is>
      </c>
      <c r="B3" s="15" t="inlineStr">
        <is>
          <t>Claude Code</t>
        </is>
      </c>
      <c r="C3" s="15" t="inlineStr">
        <is>
          <t>GitHub Copilot</t>
        </is>
      </c>
      <c r="D3" s="15" t="inlineStr">
        <is>
          <t>Aider</t>
        </is>
      </c>
      <c r="E3" s="16" t="inlineStr">
        <is>
          <t>Aider</t>
        </is>
      </c>
    </row>
    <row r="4">
      <c r="A4" s="14" t="inlineStr">
        <is>
          <t>AI Writing &amp; Grammar</t>
        </is>
      </c>
      <c r="B4" s="15" t="inlineStr">
        <is>
          <t>Grammarly</t>
        </is>
      </c>
      <c r="C4" s="15" t="inlineStr">
        <is>
          <t>LanguageTool</t>
        </is>
      </c>
      <c r="D4" s="15" t="inlineStr">
        <is>
          <t>QuillBot</t>
        </is>
      </c>
      <c r="E4" s="16" t="inlineStr">
        <is>
          <t>LanguageTool</t>
        </is>
      </c>
    </row>
    <row r="5">
      <c r="A5" s="14" t="inlineStr">
        <is>
          <t>AI Image Generation</t>
        </is>
      </c>
      <c r="B5" s="15" t="inlineStr">
        <is>
          <t>ComfyUI</t>
        </is>
      </c>
      <c r="C5" s="15" t="inlineStr">
        <is>
          <t>FLUX.1 (BFL)</t>
        </is>
      </c>
      <c r="D5" s="15" t="inlineStr">
        <is>
          <t>Stable Diffusion (Stability AI)</t>
        </is>
      </c>
      <c r="E5" s="16" t="inlineStr">
        <is>
          <t>ComfyUI</t>
        </is>
      </c>
    </row>
    <row r="6">
      <c r="A6" s="14" t="inlineStr">
        <is>
          <t>AI Video Generation</t>
        </is>
      </c>
      <c r="B6" s="15" t="inlineStr">
        <is>
          <t>Kling</t>
        </is>
      </c>
      <c r="C6" s="15" t="inlineStr">
        <is>
          <t>LTX-Video</t>
        </is>
      </c>
      <c r="D6" s="15" t="inlineStr">
        <is>
          <t>Sora</t>
        </is>
      </c>
      <c r="E6" s="16" t="inlineStr">
        <is>
          <t>LTX-Video</t>
        </is>
      </c>
    </row>
    <row r="7">
      <c r="A7" s="14" t="inlineStr">
        <is>
          <t>AI Voice &amp; Audio</t>
        </is>
      </c>
      <c r="B7" s="15" t="inlineStr">
        <is>
          <t>ElevenLabs</t>
        </is>
      </c>
      <c r="C7" s="15" t="inlineStr">
        <is>
          <t>Whisper</t>
        </is>
      </c>
      <c r="D7" s="15" t="inlineStr">
        <is>
          <t>Kokoro TTS</t>
        </is>
      </c>
      <c r="E7" s="16" t="inlineStr">
        <is>
          <t>Whisper</t>
        </is>
      </c>
    </row>
    <row r="8">
      <c r="A8" s="14" t="inlineStr">
        <is>
          <t>AI Presentations</t>
        </is>
      </c>
      <c r="B8" s="15" t="inlineStr">
        <is>
          <t>Slidev</t>
        </is>
      </c>
      <c r="C8" s="15" t="inlineStr">
        <is>
          <t>Gamma</t>
        </is>
      </c>
      <c r="D8" s="15" t="inlineStr">
        <is>
          <t>Marp</t>
        </is>
      </c>
      <c r="E8" s="16" t="inlineStr">
        <is>
          <t>Slidev</t>
        </is>
      </c>
    </row>
    <row r="9">
      <c r="A9" s="14" t="inlineStr">
        <is>
          <t>AI Graphic Design</t>
        </is>
      </c>
      <c r="B9" s="15" t="inlineStr">
        <is>
          <t>Canva</t>
        </is>
      </c>
      <c r="C9" s="15" t="inlineStr">
        <is>
          <t>Figma</t>
        </is>
      </c>
      <c r="D9" s="15" t="inlineStr">
        <is>
          <t>Excalidraw</t>
        </is>
      </c>
      <c r="E9" s="16" t="inlineStr">
        <is>
          <t>Excalidraw</t>
        </is>
      </c>
    </row>
    <row r="10">
      <c r="A10" s="14" t="inlineStr">
        <is>
          <t>AI Email Assistants</t>
        </is>
      </c>
      <c r="B10" s="15" t="inlineStr">
        <is>
          <t>Shortwave</t>
        </is>
      </c>
      <c r="C10" s="15" t="inlineStr">
        <is>
          <t>Inbox Zero</t>
        </is>
      </c>
      <c r="D10" s="15" t="inlineStr">
        <is>
          <t>Gemini in Gmail</t>
        </is>
      </c>
      <c r="E10" s="16" t="inlineStr">
        <is>
          <t>Inbox Zero</t>
        </is>
      </c>
    </row>
    <row r="11">
      <c r="A11" s="14" t="inlineStr">
        <is>
          <t>AI Meeting Notes</t>
        </is>
      </c>
      <c r="B11" s="15" t="inlineStr">
        <is>
          <t>Fathom</t>
        </is>
      </c>
      <c r="C11" s="15" t="inlineStr">
        <is>
          <t>Fireflies.ai</t>
        </is>
      </c>
      <c r="D11" s="15" t="inlineStr">
        <is>
          <t>Whisper + WhisperX</t>
        </is>
      </c>
      <c r="E11" s="16" t="inlineStr">
        <is>
          <t>Whisper + WhisperX</t>
        </is>
      </c>
    </row>
    <row r="12">
      <c r="A12" s="14" t="inlineStr">
        <is>
          <t>AI Scheduling</t>
        </is>
      </c>
      <c r="B12" s="15" t="inlineStr">
        <is>
          <t>Cal.com</t>
        </is>
      </c>
      <c r="C12" s="15" t="inlineStr">
        <is>
          <t>Calendly</t>
        </is>
      </c>
      <c r="D12" s="15" t="inlineStr">
        <is>
          <t>Reclaim AI</t>
        </is>
      </c>
      <c r="E12" s="16" t="inlineStr">
        <is>
          <t>Cal.com</t>
        </is>
      </c>
    </row>
    <row r="13">
      <c r="A13" s="14" t="inlineStr">
        <is>
          <t>AI Spreadsheets</t>
        </is>
      </c>
      <c r="B13" s="15" t="inlineStr">
        <is>
          <t>Claude (data analysis)</t>
        </is>
      </c>
      <c r="C13" s="15" t="inlineStr">
        <is>
          <t>Quadratic</t>
        </is>
      </c>
      <c r="D13" s="15" t="inlineStr">
        <is>
          <t>Rows</t>
        </is>
      </c>
      <c r="E13" s="16" t="inlineStr">
        <is>
          <t>Quadratic</t>
        </is>
      </c>
    </row>
    <row r="14">
      <c r="A14" s="14" t="inlineStr">
        <is>
          <t>AI Data Visualization &amp; Analysis</t>
        </is>
      </c>
      <c r="B14" s="15" t="inlineStr">
        <is>
          <t>Streamlit</t>
        </is>
      </c>
      <c r="C14" s="15" t="inlineStr">
        <is>
          <t>Grafana</t>
        </is>
      </c>
      <c r="D14" s="15" t="inlineStr">
        <is>
          <t>Metabase</t>
        </is>
      </c>
      <c r="E14" s="16" t="inlineStr">
        <is>
          <t>Streamlit</t>
        </is>
      </c>
    </row>
    <row r="15">
      <c r="A15" s="14" t="inlineStr">
        <is>
          <t>AI Knowledge Management</t>
        </is>
      </c>
      <c r="B15" s="15" t="inlineStr">
        <is>
          <t>Notion</t>
        </is>
      </c>
      <c r="C15" s="15" t="inlineStr">
        <is>
          <t>Obsidian</t>
        </is>
      </c>
      <c r="D15" s="15" t="inlineStr">
        <is>
          <t>NotebookLM</t>
        </is>
      </c>
      <c r="E15" s="16" t="inlineStr">
        <is>
          <t>Obsidian</t>
        </is>
      </c>
    </row>
    <row r="16">
      <c r="A16" s="14" t="inlineStr">
        <is>
          <t>AI Workflow Automation</t>
        </is>
      </c>
      <c r="B16" s="15" t="inlineStr">
        <is>
          <t>n8n</t>
        </is>
      </c>
      <c r="C16" s="15" t="inlineStr">
        <is>
          <t>Make</t>
        </is>
      </c>
      <c r="D16" s="15" t="inlineStr">
        <is>
          <t>Zapier</t>
        </is>
      </c>
      <c r="E16" s="16" t="inlineStr">
        <is>
          <t>Activepieces</t>
        </is>
      </c>
    </row>
    <row r="17">
      <c r="A17" s="14" t="inlineStr">
        <is>
          <t>AI Sales &amp; CRM</t>
        </is>
      </c>
      <c r="B17" s="15" t="inlineStr">
        <is>
          <t>HubSpot</t>
        </is>
      </c>
      <c r="C17" s="15" t="inlineStr">
        <is>
          <t>Twenty</t>
        </is>
      </c>
      <c r="D17" s="15" t="inlineStr">
        <is>
          <t>Salesforce (Agentforce)</t>
        </is>
      </c>
      <c r="E17" s="16" t="inlineStr">
        <is>
          <t>Twenty</t>
        </is>
      </c>
    </row>
    <row r="18">
      <c r="A18" s="14" t="inlineStr">
        <is>
          <t>AI Sales Outreach &amp; Prospecting</t>
        </is>
      </c>
      <c r="B18" s="15" t="inlineStr">
        <is>
          <t>Relevance AI</t>
        </is>
      </c>
      <c r="C18" s="15" t="inlineStr">
        <is>
          <t>Listmonk</t>
        </is>
      </c>
      <c r="D18" s="15" t="inlineStr">
        <is>
          <t>Instantly</t>
        </is>
      </c>
      <c r="E18" s="16" t="inlineStr">
        <is>
          <t>Listmonk</t>
        </is>
      </c>
    </row>
    <row r="19">
      <c r="A19" s="14" t="inlineStr">
        <is>
          <t>AI Marketing &amp; SEO</t>
        </is>
      </c>
      <c r="B19" s="15" t="inlineStr">
        <is>
          <t>Mautic</t>
        </is>
      </c>
      <c r="C19" s="15" t="inlineStr">
        <is>
          <t>Postiz</t>
        </is>
      </c>
      <c r="D19" s="15" t="inlineStr">
        <is>
          <t>Matomo</t>
        </is>
      </c>
      <c r="E19" s="16" t="inlineStr">
        <is>
          <t>Mautic</t>
        </is>
      </c>
    </row>
    <row r="20">
      <c r="A20" s="14" t="inlineStr">
        <is>
          <t>AI Research Tools</t>
        </is>
      </c>
      <c r="B20" s="15" t="inlineStr">
        <is>
          <t>GPT Researcher</t>
        </is>
      </c>
      <c r="C20" s="15" t="inlineStr">
        <is>
          <t>Elicit</t>
        </is>
      </c>
      <c r="D20" s="15" t="inlineStr">
        <is>
          <t>STORM</t>
        </is>
      </c>
      <c r="E20" s="16" t="inlineStr">
        <is>
          <t>GPT Researcher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2026-07-23T14:13:25Z</dcterms:created>
  <dcterms:modified xsi:type="dcterms:W3CDTF">2026-07-23T14:13:25Z</dcterms:modified>
</cp:coreProperties>
</file>